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hek\OneDrive\Desktop\"/>
    </mc:Choice>
  </mc:AlternateContent>
  <xr:revisionPtr revIDLastSave="0" documentId="8_{FD741720-AA33-4BC8-9644-883E41DC1A0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ales_Data" sheetId="1" r:id="rId1"/>
    <sheet name="Raw_Data" sheetId="2" r:id="rId2"/>
    <sheet name="Analysis" sheetId="3" r:id="rId3"/>
    <sheet name="Dashboard" sheetId="4" r:id="rId4"/>
    <sheet name="Insights" sheetId="5" r:id="rId5"/>
  </sheets>
  <definedNames>
    <definedName name="_xlnm._FilterDatabase" localSheetId="0" hidden="1">Sales_Data!$A$1:$Q$511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8" i="4" l="1"/>
  <c r="A27" i="4"/>
  <c r="A26" i="4"/>
  <c r="E6" i="4"/>
  <c r="C5" i="4"/>
  <c r="A5" i="4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K45" i="3"/>
  <c r="B45" i="3"/>
  <c r="C6" i="5" s="1"/>
  <c r="K44" i="3"/>
  <c r="K43" i="3"/>
  <c r="K42" i="3"/>
  <c r="K41" i="3"/>
  <c r="K40" i="3"/>
  <c r="K39" i="3"/>
  <c r="K38" i="3"/>
  <c r="K37" i="3"/>
  <c r="K36" i="3"/>
  <c r="K35" i="3"/>
  <c r="K34" i="3"/>
  <c r="K33" i="3"/>
  <c r="B33" i="3"/>
  <c r="K32" i="3"/>
  <c r="B32" i="3"/>
  <c r="K31" i="3"/>
  <c r="B31" i="3"/>
  <c r="C7" i="5" s="1"/>
  <c r="K30" i="3"/>
  <c r="K29" i="3"/>
  <c r="K28" i="3"/>
  <c r="K27" i="3"/>
  <c r="B27" i="3"/>
  <c r="K26" i="3"/>
  <c r="B26" i="3"/>
  <c r="K25" i="3"/>
  <c r="B25" i="3"/>
  <c r="K24" i="3"/>
  <c r="B24" i="3"/>
  <c r="K23" i="3"/>
  <c r="K22" i="3"/>
  <c r="K21" i="3"/>
  <c r="K20" i="3"/>
  <c r="B20" i="3"/>
  <c r="B28" i="4" s="1"/>
  <c r="K19" i="3"/>
  <c r="B19" i="3"/>
  <c r="B27" i="4" s="1"/>
  <c r="K18" i="3"/>
  <c r="B18" i="3"/>
  <c r="B26" i="4" s="1"/>
  <c r="K17" i="3"/>
  <c r="K16" i="3"/>
  <c r="K15" i="3"/>
  <c r="K14" i="3"/>
  <c r="B14" i="3"/>
  <c r="K13" i="3"/>
  <c r="B13" i="3"/>
  <c r="K12" i="3"/>
  <c r="C40" i="3" s="1"/>
  <c r="B12" i="3"/>
  <c r="K11" i="3"/>
  <c r="B11" i="3"/>
  <c r="C4" i="5" s="1"/>
  <c r="K10" i="3"/>
  <c r="K9" i="3"/>
  <c r="K8" i="3"/>
  <c r="K7" i="3"/>
  <c r="K6" i="3"/>
  <c r="C39" i="3" s="1"/>
  <c r="E6" i="3"/>
  <c r="D6" i="3"/>
  <c r="C6" i="3"/>
  <c r="B6" i="3"/>
  <c r="A6" i="3"/>
  <c r="K5" i="3"/>
  <c r="K4" i="3"/>
  <c r="K3" i="3"/>
  <c r="B39" i="3" l="1"/>
  <c r="A39" i="3"/>
  <c r="B40" i="3"/>
  <c r="A40" i="3"/>
  <c r="C38" i="3"/>
  <c r="C41" i="3"/>
  <c r="C37" i="3"/>
  <c r="C5" i="5"/>
  <c r="A41" i="3" l="1"/>
  <c r="B41" i="3"/>
  <c r="B37" i="3"/>
  <c r="A37" i="3"/>
  <c r="A38" i="3"/>
  <c r="B3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5" authorId="0" shapeId="0" xr:uid="{00000000-0006-0000-0300-000001000000}">
      <text>
        <r>
          <rPr>
            <sz val="10"/>
            <rFont val="Arial"/>
            <family val="2"/>
          </rPr>
          <t>Pick a Region to filter the KPI in E6. This dropdown behaves like a slicer. (Note: native Excel Slicers require the ranges below to be converted to real PivotTables — select any pivot table and use Insert &gt; Slicer to add one if your workflow needs it.)</t>
        </r>
      </text>
    </comment>
  </commentList>
</comments>
</file>

<file path=xl/sharedStrings.xml><?xml version="1.0" encoding="utf-8"?>
<sst xmlns="http://schemas.openxmlformats.org/spreadsheetml/2006/main" count="11707" uniqueCount="1786">
  <si>
    <t>Row ID</t>
  </si>
  <si>
    <t>Order ID</t>
  </si>
  <si>
    <t>Order Date</t>
  </si>
  <si>
    <t>Ship Date</t>
  </si>
  <si>
    <t>Ship Mode</t>
  </si>
  <si>
    <t>Customer Name</t>
  </si>
  <si>
    <t>Segment</t>
  </si>
  <si>
    <t>Region</t>
  </si>
  <si>
    <t>State</t>
  </si>
  <si>
    <t>City</t>
  </si>
  <si>
    <t>Category</t>
  </si>
  <si>
    <t>Sub-Category</t>
  </si>
  <si>
    <t>Product Name</t>
  </si>
  <si>
    <t>Quantity</t>
  </si>
  <si>
    <t>Discount</t>
  </si>
  <si>
    <t>Sales</t>
  </si>
  <si>
    <t>Profit</t>
  </si>
  <si>
    <t>Cleaning log (Task 1): started with 545 rows in Raw_Data -&gt; removed 10 blank rows, 21 duplicate rows, and rows with missing Sales/Profit or unparseable dates -&gt; 510 clean rows remain here. Order Date &amp; Ship Date formatted as dates; Sales &amp; Profit formatted as currency.</t>
  </si>
  <si>
    <t>ES-2021-100001</t>
  </si>
  <si>
    <t>Second Class</t>
  </si>
  <si>
    <t>James Williams</t>
  </si>
  <si>
    <t>Consumer</t>
  </si>
  <si>
    <t>East</t>
  </si>
  <si>
    <t>New York</t>
  </si>
  <si>
    <t>New York City</t>
  </si>
  <si>
    <t>Office Supplies</t>
  </si>
  <si>
    <t>Paper</t>
  </si>
  <si>
    <t>Copy Paper A4</t>
  </si>
  <si>
    <t>ES-2023-100002</t>
  </si>
  <si>
    <t>Jessica Hernandez</t>
  </si>
  <si>
    <t>Corporate</t>
  </si>
  <si>
    <t>Virginia</t>
  </si>
  <si>
    <t>Richmond</t>
  </si>
  <si>
    <t>Furniture</t>
  </si>
  <si>
    <t>Furnishings</t>
  </si>
  <si>
    <t>Wall Clock</t>
  </si>
  <si>
    <t>WS-2023-100003</t>
  </si>
  <si>
    <t>First Class</t>
  </si>
  <si>
    <t>Richard Williams</t>
  </si>
  <si>
    <t>Home Office</t>
  </si>
  <si>
    <t>West</t>
  </si>
  <si>
    <t>Oregon</t>
  </si>
  <si>
    <t>Portland</t>
  </si>
  <si>
    <t>Desk Lamp</t>
  </si>
  <si>
    <t>CS-2024-100004</t>
  </si>
  <si>
    <t>Richard Rodriguez</t>
  </si>
  <si>
    <t>Central</t>
  </si>
  <si>
    <t>Minnesota</t>
  </si>
  <si>
    <t>Minneapolis</t>
  </si>
  <si>
    <t>Chairs</t>
  </si>
  <si>
    <t>Executive Leather Chair</t>
  </si>
  <si>
    <t>WS-2024-100005</t>
  </si>
  <si>
    <t>Linda Anderson</t>
  </si>
  <si>
    <t>Fasteners</t>
  </si>
  <si>
    <t>Paper Clips</t>
  </si>
  <si>
    <t>WT-2021-100006</t>
  </si>
  <si>
    <t>Same Day</t>
  </si>
  <si>
    <t>Michael Thomas</t>
  </si>
  <si>
    <t>Technology</t>
  </si>
  <si>
    <t>Phones</t>
  </si>
  <si>
    <t>Smartphone X200</t>
  </si>
  <si>
    <t>WS-2024-100007</t>
  </si>
  <si>
    <t>Standard Class</t>
  </si>
  <si>
    <t>Thomas Thomas</t>
  </si>
  <si>
    <t>Bookcases</t>
  </si>
  <si>
    <t>Corner Bookcase</t>
  </si>
  <si>
    <t>ES-2024-100008</t>
  </si>
  <si>
    <t>Patricia Moore</t>
  </si>
  <si>
    <t>Pennsylvania</t>
  </si>
  <si>
    <t>Philadelphia</t>
  </si>
  <si>
    <t>ET-2022-100009</t>
  </si>
  <si>
    <t>Thomas Martin</t>
  </si>
  <si>
    <t>New Jersey</t>
  </si>
  <si>
    <t>Newark</t>
  </si>
  <si>
    <t>Art</t>
  </si>
  <si>
    <t>Sketch Pad</t>
  </si>
  <si>
    <t>CT-2024-100010</t>
  </si>
  <si>
    <t>Barbara Johnson</t>
  </si>
  <si>
    <t>Texas</t>
  </si>
  <si>
    <t>Dallas</t>
  </si>
  <si>
    <t>Labels</t>
  </si>
  <si>
    <t>Address Labels</t>
  </si>
  <si>
    <t>ES-2024-100011</t>
  </si>
  <si>
    <t>Elizabeth Gonzalez</t>
  </si>
  <si>
    <t>Massachusetts</t>
  </si>
  <si>
    <t>Boston</t>
  </si>
  <si>
    <t>Machines</t>
  </si>
  <si>
    <t>Label Maker</t>
  </si>
  <si>
    <t>SS-2021-100012</t>
  </si>
  <si>
    <t>John Johnson</t>
  </si>
  <si>
    <t>South</t>
  </si>
  <si>
    <t>Alabama</t>
  </si>
  <si>
    <t>Birmingham</t>
  </si>
  <si>
    <t>ET-2024-100013</t>
  </si>
  <si>
    <t>Jessica Miller</t>
  </si>
  <si>
    <t>Tables</t>
  </si>
  <si>
    <t>Folding Table</t>
  </si>
  <si>
    <t>ST-2021-100014</t>
  </si>
  <si>
    <t>Patricia Davis</t>
  </si>
  <si>
    <t>North Carolina</t>
  </si>
  <si>
    <t>Charlotte</t>
  </si>
  <si>
    <t>Highlighter Pack</t>
  </si>
  <si>
    <t>SS-2022-100015</t>
  </si>
  <si>
    <t>John Davis</t>
  </si>
  <si>
    <t>Georgia</t>
  </si>
  <si>
    <t>Atlanta</t>
  </si>
  <si>
    <t>Storage</t>
  </si>
  <si>
    <t>Filing Cabinet</t>
  </si>
  <si>
    <t>ST-2021-100016</t>
  </si>
  <si>
    <t>Elizabeth Wilson</t>
  </si>
  <si>
    <t>Tennessee</t>
  </si>
  <si>
    <t>Nashville</t>
  </si>
  <si>
    <t>WS-2024-100017</t>
  </si>
  <si>
    <t>Mary Taylor</t>
  </si>
  <si>
    <t>Washington</t>
  </si>
  <si>
    <t>Seattle</t>
  </si>
  <si>
    <t>Binders</t>
  </si>
  <si>
    <t>Heavy-Duty Binder</t>
  </si>
  <si>
    <t>ET-2021-100018</t>
  </si>
  <si>
    <t>Charles Jackson</t>
  </si>
  <si>
    <t>Glass Table</t>
  </si>
  <si>
    <t>CS-2022-100019</t>
  </si>
  <si>
    <t>James Anderson</t>
  </si>
  <si>
    <t>Storage Box</t>
  </si>
  <si>
    <t>ET-2022-100020</t>
  </si>
  <si>
    <t>Nancy Taylor</t>
  </si>
  <si>
    <t>Metal Bookcase</t>
  </si>
  <si>
    <t>ES-2024-100021</t>
  </si>
  <si>
    <t>William Taylor</t>
  </si>
  <si>
    <t>ET-2021-100022</t>
  </si>
  <si>
    <t>Karen Wilson</t>
  </si>
  <si>
    <t>ES-2021-100023</t>
  </si>
  <si>
    <t>Elizabeth Lopez</t>
  </si>
  <si>
    <t>Calculator</t>
  </si>
  <si>
    <t>WS-2023-100024</t>
  </si>
  <si>
    <t>Jessica Smith</t>
  </si>
  <si>
    <t>Plastic Bin</t>
  </si>
  <si>
    <t>ST-2023-100025</t>
  </si>
  <si>
    <t>Susan Martinez</t>
  </si>
  <si>
    <t>Push Pins</t>
  </si>
  <si>
    <t>ES-2022-100026</t>
  </si>
  <si>
    <t>William Garcia</t>
  </si>
  <si>
    <t>ES-2022-100027</t>
  </si>
  <si>
    <t>William Johnson</t>
  </si>
  <si>
    <t>CT-2022-100029</t>
  </si>
  <si>
    <t>Richard Moore</t>
  </si>
  <si>
    <t>Ohio</t>
  </si>
  <si>
    <t>Columbus</t>
  </si>
  <si>
    <t>CS-2023-100030</t>
  </si>
  <si>
    <t>John Martinez</t>
  </si>
  <si>
    <t>Shipping Labels</t>
  </si>
  <si>
    <t>ES-2021-100031</t>
  </si>
  <si>
    <t>Joseph Wilson</t>
  </si>
  <si>
    <t>SS-2024-100032</t>
  </si>
  <si>
    <t>Linda Taylor</t>
  </si>
  <si>
    <t>Sticky Notes</t>
  </si>
  <si>
    <t>WT-2023-100033</t>
  </si>
  <si>
    <t>Karen Anderson</t>
  </si>
  <si>
    <t>California</t>
  </si>
  <si>
    <t>Los Angeles</t>
  </si>
  <si>
    <t>ST-2023-100034</t>
  </si>
  <si>
    <t>Barbara Rodriguez</t>
  </si>
  <si>
    <t>ET-2024-100035</t>
  </si>
  <si>
    <t>Mary Miller</t>
  </si>
  <si>
    <t>ES-2022-100036</t>
  </si>
  <si>
    <t>Sarah Davis</t>
  </si>
  <si>
    <t>View Binder</t>
  </si>
  <si>
    <t>SS-2023-100037</t>
  </si>
  <si>
    <t>Richard Jackson</t>
  </si>
  <si>
    <t>Florida</t>
  </si>
  <si>
    <t>Miami</t>
  </si>
  <si>
    <t>Stapler</t>
  </si>
  <si>
    <t>ET-2021-100038</t>
  </si>
  <si>
    <t>William Wilson</t>
  </si>
  <si>
    <t>SS-2022-100039</t>
  </si>
  <si>
    <t>Michael Smith</t>
  </si>
  <si>
    <t>WS-2022-100040</t>
  </si>
  <si>
    <t>Linda Martinez</t>
  </si>
  <si>
    <t>CT-2022-100041</t>
  </si>
  <si>
    <t>Nancy Brown</t>
  </si>
  <si>
    <t>Marker Set</t>
  </si>
  <si>
    <t>CS-2023-100042</t>
  </si>
  <si>
    <t>Jessica Lopez</t>
  </si>
  <si>
    <t>WS-2024-100043</t>
  </si>
  <si>
    <t>John Rodriguez</t>
  </si>
  <si>
    <t>Nevada</t>
  </si>
  <si>
    <t>Las Vegas</t>
  </si>
  <si>
    <t>ST-2021-100044</t>
  </si>
  <si>
    <t>David Rodriguez</t>
  </si>
  <si>
    <t>ET-2023-100045</t>
  </si>
  <si>
    <t>Joseph Smith</t>
  </si>
  <si>
    <t>WT-2024-100046</t>
  </si>
  <si>
    <t>Susan Anderson</t>
  </si>
  <si>
    <t>CT-2021-100047</t>
  </si>
  <si>
    <t>William Jackson</t>
  </si>
  <si>
    <t>ES-2022-100048</t>
  </si>
  <si>
    <t>Karen Martinez</t>
  </si>
  <si>
    <t>ST-2023-100049</t>
  </si>
  <si>
    <t>Patricia Williams</t>
  </si>
  <si>
    <t>Accessories</t>
  </si>
  <si>
    <t>Wireless Mouse</t>
  </si>
  <si>
    <t>ES-2021-100050</t>
  </si>
  <si>
    <t>Round Ring Binder</t>
  </si>
  <si>
    <t>SS-2023-100051</t>
  </si>
  <si>
    <t>Michael Rodriguez</t>
  </si>
  <si>
    <t>Keyboard</t>
  </si>
  <si>
    <t>WS-2021-100052</t>
  </si>
  <si>
    <t>Elizabeth Martinez</t>
  </si>
  <si>
    <t>Mesh Task Chair</t>
  </si>
  <si>
    <t>ES-2021-100053</t>
  </si>
  <si>
    <t>Mary Garcia</t>
  </si>
  <si>
    <t>Laminator</t>
  </si>
  <si>
    <t>SS-2023-100054</t>
  </si>
  <si>
    <t>ES-2024-100055</t>
  </si>
  <si>
    <t>Sarah Taylor</t>
  </si>
  <si>
    <t>CS-2021-100056</t>
  </si>
  <si>
    <t>David Wilson</t>
  </si>
  <si>
    <t>Copiers</t>
  </si>
  <si>
    <t>Office Copier Pro</t>
  </si>
  <si>
    <t>CS-2021-100057</t>
  </si>
  <si>
    <t>Cordless Phone</t>
  </si>
  <si>
    <t>WT-2023-100058</t>
  </si>
  <si>
    <t>Sarah Brown</t>
  </si>
  <si>
    <t>Arizona</t>
  </si>
  <si>
    <t>Phoenix</t>
  </si>
  <si>
    <t>WS-2021-100059</t>
  </si>
  <si>
    <t>Sarah Martinez</t>
  </si>
  <si>
    <t>ST-2024-100060</t>
  </si>
  <si>
    <t>ET-2021-100061</t>
  </si>
  <si>
    <t>Joseph Hernandez</t>
  </si>
  <si>
    <t>SS-2022-100062</t>
  </si>
  <si>
    <t>Sarah Johnson</t>
  </si>
  <si>
    <t>Desktop Copier</t>
  </si>
  <si>
    <t>ET-2021-100063</t>
  </si>
  <si>
    <t>David Martin</t>
  </si>
  <si>
    <t>ES-2024-100064</t>
  </si>
  <si>
    <t>Elizabeth Davis</t>
  </si>
  <si>
    <t>SS-2023-100065</t>
  </si>
  <si>
    <t>WS-2021-100066</t>
  </si>
  <si>
    <t>Sarah Jackson</t>
  </si>
  <si>
    <t>ST-2023-100067</t>
  </si>
  <si>
    <t>Charles Martinez</t>
  </si>
  <si>
    <t>CT-2023-100068</t>
  </si>
  <si>
    <t>James Gonzalez</t>
  </si>
  <si>
    <t>ES-2024-100069</t>
  </si>
  <si>
    <t>Patricia Johnson</t>
  </si>
  <si>
    <t>ET-2022-100070</t>
  </si>
  <si>
    <t>Thomas Taylor</t>
  </si>
  <si>
    <t>CS-2022-100071</t>
  </si>
  <si>
    <t>ST-2023-100072</t>
  </si>
  <si>
    <t>CS-2023-100073</t>
  </si>
  <si>
    <t>Elizabeth Thomas</t>
  </si>
  <si>
    <t>WS-2024-100074</t>
  </si>
  <si>
    <t>Jessica Brown</t>
  </si>
  <si>
    <t>Picture Frame</t>
  </si>
  <si>
    <t>CT-2023-100075</t>
  </si>
  <si>
    <t>Mary Gonzalez</t>
  </si>
  <si>
    <t>Illinois</t>
  </si>
  <si>
    <t>Chicago</t>
  </si>
  <si>
    <t>Colored Paper Pack</t>
  </si>
  <si>
    <t>ES-2021-100076</t>
  </si>
  <si>
    <t>John Moore</t>
  </si>
  <si>
    <t>Round Conference Table</t>
  </si>
  <si>
    <t>WS-2021-100077</t>
  </si>
  <si>
    <t>Robert Smith</t>
  </si>
  <si>
    <t>CT-2023-100078</t>
  </si>
  <si>
    <t>Thomas Jackson</t>
  </si>
  <si>
    <t>WS-2024-100079</t>
  </si>
  <si>
    <t>Sarah Anderson</t>
  </si>
  <si>
    <t>Wooden Bookcase 5-Shelf</t>
  </si>
  <si>
    <t>CT-2024-100080</t>
  </si>
  <si>
    <t>Joseph Taylor</t>
  </si>
  <si>
    <t>ES-2023-100081</t>
  </si>
  <si>
    <t>CT-2021-100082</t>
  </si>
  <si>
    <t>Robert Moore</t>
  </si>
  <si>
    <t>ES-2021-100083</t>
  </si>
  <si>
    <t>Robert Thomas</t>
  </si>
  <si>
    <t>CT-2022-100084</t>
  </si>
  <si>
    <t>James Garcia</t>
  </si>
  <si>
    <t>CS-2021-100085</t>
  </si>
  <si>
    <t>Richard Wilson</t>
  </si>
  <si>
    <t>Michigan</t>
  </si>
  <si>
    <t>Detroit</t>
  </si>
  <si>
    <t>WT-2024-100086</t>
  </si>
  <si>
    <t>ST-2023-100087</t>
  </si>
  <si>
    <t>Mary Davis</t>
  </si>
  <si>
    <t>Stacking Chair</t>
  </si>
  <si>
    <t>ES-2022-100088</t>
  </si>
  <si>
    <t>Robert Gonzalez</t>
  </si>
  <si>
    <t>CT-2023-100089</t>
  </si>
  <si>
    <t>Jessica Martinez</t>
  </si>
  <si>
    <t>ES-2021-100090</t>
  </si>
  <si>
    <t>Richard Martinez</t>
  </si>
  <si>
    <t>WS-2024-100091</t>
  </si>
  <si>
    <t>Barbara Brown</t>
  </si>
  <si>
    <t>Bluetooth Headset</t>
  </si>
  <si>
    <t>WT-2021-100092</t>
  </si>
  <si>
    <t>David Jones</t>
  </si>
  <si>
    <t>SS-2021-100093</t>
  </si>
  <si>
    <t>SS-2023-100094</t>
  </si>
  <si>
    <t>Mary Anderson</t>
  </si>
  <si>
    <t>ET-2024-100095</t>
  </si>
  <si>
    <t>CS-2022-100096</t>
  </si>
  <si>
    <t>WS-2024-100097</t>
  </si>
  <si>
    <t>Jessica Taylor</t>
  </si>
  <si>
    <t>CS-2023-100098</t>
  </si>
  <si>
    <t>Thomas Moore</t>
  </si>
  <si>
    <t>CS-2021-100099</t>
  </si>
  <si>
    <t>SS-2022-100100</t>
  </si>
  <si>
    <t>Susan Jackson</t>
  </si>
  <si>
    <t>CT-2022-100101</t>
  </si>
  <si>
    <t>Susan Moore</t>
  </si>
  <si>
    <t>CT-2023-100102</t>
  </si>
  <si>
    <t>James Wilson</t>
  </si>
  <si>
    <t>CS-2022-100103</t>
  </si>
  <si>
    <t>Mary Martinez</t>
  </si>
  <si>
    <t>ST-2022-100104</t>
  </si>
  <si>
    <t>Barbara Martinez</t>
  </si>
  <si>
    <t>WS-2021-100105</t>
  </si>
  <si>
    <t>Robert Martinez</t>
  </si>
  <si>
    <t>CS-2024-100106</t>
  </si>
  <si>
    <t>Richard Thomas</t>
  </si>
  <si>
    <t>CT-2022-100107</t>
  </si>
  <si>
    <t>Robert Johnson</t>
  </si>
  <si>
    <t>WS-2021-100108</t>
  </si>
  <si>
    <t>CS-2022-100109</t>
  </si>
  <si>
    <t>ST-2022-100110</t>
  </si>
  <si>
    <t>John Wilson</t>
  </si>
  <si>
    <t>CT-2022-100111</t>
  </si>
  <si>
    <t>SS-2024-100112</t>
  </si>
  <si>
    <t>Nancy Anderson</t>
  </si>
  <si>
    <t>ET-2023-100113</t>
  </si>
  <si>
    <t>Joseph Williams</t>
  </si>
  <si>
    <t>CS-2021-100114</t>
  </si>
  <si>
    <t>William Rodriguez</t>
  </si>
  <si>
    <t>WT-2021-100115</t>
  </si>
  <si>
    <t>John Hernandez</t>
  </si>
  <si>
    <t>ES-2024-100116</t>
  </si>
  <si>
    <t>Michael Jones</t>
  </si>
  <si>
    <t>ET-2024-100117</t>
  </si>
  <si>
    <t>Thomas Wilson</t>
  </si>
  <si>
    <t>WS-2024-100118</t>
  </si>
  <si>
    <t>WT-2022-100119</t>
  </si>
  <si>
    <t>WS-2024-100120</t>
  </si>
  <si>
    <t>WT-2023-100121</t>
  </si>
  <si>
    <t>Elizabeth Anderson</t>
  </si>
  <si>
    <t>WT-2022-100122</t>
  </si>
  <si>
    <t>Richard Jones</t>
  </si>
  <si>
    <t>CT-2022-100123</t>
  </si>
  <si>
    <t>Barbara Garcia</t>
  </si>
  <si>
    <t>WS-2023-100124</t>
  </si>
  <si>
    <t>Michael Jackson</t>
  </si>
  <si>
    <t>ET-2023-100125</t>
  </si>
  <si>
    <t>Susan Gonzalez</t>
  </si>
  <si>
    <t>ST-2024-100126</t>
  </si>
  <si>
    <t>Nancy Martin</t>
  </si>
  <si>
    <t>ES-2023-100127</t>
  </si>
  <si>
    <t>Mary Jones</t>
  </si>
  <si>
    <t>ST-2022-100128</t>
  </si>
  <si>
    <t>CT-2022-100129</t>
  </si>
  <si>
    <t>SS-2023-100130</t>
  </si>
  <si>
    <t>SS-2023-100131</t>
  </si>
  <si>
    <t>Karen Hernandez</t>
  </si>
  <si>
    <t>SS-2024-100132</t>
  </si>
  <si>
    <t>WT-2024-100133</t>
  </si>
  <si>
    <t>Richard Lopez</t>
  </si>
  <si>
    <t>ET-2023-100134</t>
  </si>
  <si>
    <t>Karen Rodriguez</t>
  </si>
  <si>
    <t>WS-2021-100135</t>
  </si>
  <si>
    <t>James Moore</t>
  </si>
  <si>
    <t>Rectangular Desk</t>
  </si>
  <si>
    <t>SS-2022-100136</t>
  </si>
  <si>
    <t>Karen Johnson</t>
  </si>
  <si>
    <t>WS-2022-100137</t>
  </si>
  <si>
    <t>David Martinez</t>
  </si>
  <si>
    <t>WS-2022-100138</t>
  </si>
  <si>
    <t>CS-2022-100140</t>
  </si>
  <si>
    <t>Mary Brown</t>
  </si>
  <si>
    <t>WS-2024-100141</t>
  </si>
  <si>
    <t>Barbara Jones</t>
  </si>
  <si>
    <t>SS-2023-100142</t>
  </si>
  <si>
    <t>Thomas Anderson</t>
  </si>
  <si>
    <t>ET-2021-100143</t>
  </si>
  <si>
    <t>John Taylor</t>
  </si>
  <si>
    <t>ST-2021-100144</t>
  </si>
  <si>
    <t>William Smith</t>
  </si>
  <si>
    <t>ET-2024-100145</t>
  </si>
  <si>
    <t>Linda Jones</t>
  </si>
  <si>
    <t>CT-2021-100146</t>
  </si>
  <si>
    <t>Patricia Garcia</t>
  </si>
  <si>
    <t>WS-2023-100147</t>
  </si>
  <si>
    <t>Joseph Lopez</t>
  </si>
  <si>
    <t>WS-2022-100148</t>
  </si>
  <si>
    <t>WT-2023-100149</t>
  </si>
  <si>
    <t>ST-2024-100150</t>
  </si>
  <si>
    <t>Thomas Hernandez</t>
  </si>
  <si>
    <t>SS-2023-100151</t>
  </si>
  <si>
    <t>ST-2021-100152</t>
  </si>
  <si>
    <t>WS-2023-100153</t>
  </si>
  <si>
    <t>Michael Miller</t>
  </si>
  <si>
    <t>ST-2023-100154</t>
  </si>
  <si>
    <t>Elizabeth Rodriguez</t>
  </si>
  <si>
    <t>SS-2022-100155</t>
  </si>
  <si>
    <t>William Moore</t>
  </si>
  <si>
    <t>CT-2024-100156</t>
  </si>
  <si>
    <t>WS-2024-100157</t>
  </si>
  <si>
    <t>ES-2021-100158</t>
  </si>
  <si>
    <t>ES-2022-100159</t>
  </si>
  <si>
    <t>Patricia Brown</t>
  </si>
  <si>
    <t>ET-2023-100161</t>
  </si>
  <si>
    <t>David Jackson</t>
  </si>
  <si>
    <t>WT-2021-100162</t>
  </si>
  <si>
    <t>James Miller</t>
  </si>
  <si>
    <t>SS-2024-100163</t>
  </si>
  <si>
    <t>ET-2024-100164</t>
  </si>
  <si>
    <t>James Rodriguez</t>
  </si>
  <si>
    <t>WT-2022-100165</t>
  </si>
  <si>
    <t>Barbara Williams</t>
  </si>
  <si>
    <t>WT-2023-100166</t>
  </si>
  <si>
    <t>Susan Rodriguez</t>
  </si>
  <si>
    <t>ST-2024-100168</t>
  </si>
  <si>
    <t>William Thomas</t>
  </si>
  <si>
    <t>WS-2021-100169</t>
  </si>
  <si>
    <t>Joseph Brown</t>
  </si>
  <si>
    <t>ES-2022-100170</t>
  </si>
  <si>
    <t>Sarah Hernandez</t>
  </si>
  <si>
    <t>CT-2024-100171</t>
  </si>
  <si>
    <t>Susan Brown</t>
  </si>
  <si>
    <t>WT-2023-100172</t>
  </si>
  <si>
    <t>Sarah Jones</t>
  </si>
  <si>
    <t>WT-2023-100173</t>
  </si>
  <si>
    <t>ET-2024-100174</t>
  </si>
  <si>
    <t>CS-2023-100175</t>
  </si>
  <si>
    <t>ES-2022-100176</t>
  </si>
  <si>
    <t>Joseph Anderson</t>
  </si>
  <si>
    <t>CS-2022-100177</t>
  </si>
  <si>
    <t>Thomas Garcia</t>
  </si>
  <si>
    <t>CS-2023-100178</t>
  </si>
  <si>
    <t>Joseph Jackson</t>
  </si>
  <si>
    <t>ET-2024-100179</t>
  </si>
  <si>
    <t>SS-2024-100180</t>
  </si>
  <si>
    <t>Robert Hernandez</t>
  </si>
  <si>
    <t>CS-2023-100181</t>
  </si>
  <si>
    <t>Karen Garcia</t>
  </si>
  <si>
    <t>WT-2021-100182</t>
  </si>
  <si>
    <t>Karen Taylor</t>
  </si>
  <si>
    <t>ST-2021-100183</t>
  </si>
  <si>
    <t>Barbara Moore</t>
  </si>
  <si>
    <t>SS-2023-100184</t>
  </si>
  <si>
    <t>Joseph Moore</t>
  </si>
  <si>
    <t>ES-2022-100185</t>
  </si>
  <si>
    <t>Barbara Miller</t>
  </si>
  <si>
    <t>ST-2021-100186</t>
  </si>
  <si>
    <t>Elizabeth Jackson</t>
  </si>
  <si>
    <t>WS-2021-100187</t>
  </si>
  <si>
    <t>ST-2023-100188</t>
  </si>
  <si>
    <t>ST-2023-100189</t>
  </si>
  <si>
    <t>Karen Jackson</t>
  </si>
  <si>
    <t>CT-2021-100190</t>
  </si>
  <si>
    <t>WT-2021-100191</t>
  </si>
  <si>
    <t>Barbara Wilson</t>
  </si>
  <si>
    <t>ET-2024-100192</t>
  </si>
  <si>
    <t>Patricia Wilson</t>
  </si>
  <si>
    <t>SS-2021-100193</t>
  </si>
  <si>
    <t>Robert Williams</t>
  </si>
  <si>
    <t>WS-2021-100194</t>
  </si>
  <si>
    <t>Robert Brown</t>
  </si>
  <si>
    <t>CS-2022-100195</t>
  </si>
  <si>
    <t>Elizabeth Miller</t>
  </si>
  <si>
    <t>SS-2023-100196</t>
  </si>
  <si>
    <t>Susan Hernandez</t>
  </si>
  <si>
    <t>SS-2021-100197</t>
  </si>
  <si>
    <t>Richard Taylor</t>
  </si>
  <si>
    <t>SS-2021-100198</t>
  </si>
  <si>
    <t>CS-2022-100199</t>
  </si>
  <si>
    <t>Patricia Smith</t>
  </si>
  <si>
    <t>CT-2023-100201</t>
  </si>
  <si>
    <t>Patricia Jackson</t>
  </si>
  <si>
    <t>Recliner Chair</t>
  </si>
  <si>
    <t>WS-2021-100202</t>
  </si>
  <si>
    <t>WS-2021-100203</t>
  </si>
  <si>
    <t>CS-2023-100204</t>
  </si>
  <si>
    <t>WS-2021-100205</t>
  </si>
  <si>
    <t>David Smith</t>
  </si>
  <si>
    <t>CS-2023-100206</t>
  </si>
  <si>
    <t>SS-2024-100207</t>
  </si>
  <si>
    <t>SS-2021-100208</t>
  </si>
  <si>
    <t>ET-2022-100209</t>
  </si>
  <si>
    <t>Nancy Johnson</t>
  </si>
  <si>
    <t>WT-2023-100210</t>
  </si>
  <si>
    <t>ET-2023-100212</t>
  </si>
  <si>
    <t>SS-2022-100213</t>
  </si>
  <si>
    <t>CS-2021-100214</t>
  </si>
  <si>
    <t>Karen Smith</t>
  </si>
  <si>
    <t>SS-2023-100215</t>
  </si>
  <si>
    <t>CS-2022-100216</t>
  </si>
  <si>
    <t>Charles Gonzalez</t>
  </si>
  <si>
    <t>WS-2023-100217</t>
  </si>
  <si>
    <t>Charles Miller</t>
  </si>
  <si>
    <t>WS-2024-100218</t>
  </si>
  <si>
    <t>CT-2023-100219</t>
  </si>
  <si>
    <t>Charles Brown</t>
  </si>
  <si>
    <t>CS-2024-100220</t>
  </si>
  <si>
    <t>WT-2023-100221</t>
  </si>
  <si>
    <t>Nancy Davis</t>
  </si>
  <si>
    <t>ST-2022-100222</t>
  </si>
  <si>
    <t>WT-2021-100223</t>
  </si>
  <si>
    <t>Sarah Gonzalez</t>
  </si>
  <si>
    <t>ET-2023-100224</t>
  </si>
  <si>
    <t>SS-2022-100225</t>
  </si>
  <si>
    <t>Nancy Wilson</t>
  </si>
  <si>
    <t>ET-2024-100226</t>
  </si>
  <si>
    <t>SS-2021-100227</t>
  </si>
  <si>
    <t>Michael Garcia</t>
  </si>
  <si>
    <t>ET-2023-100228</t>
  </si>
  <si>
    <t>Susan Garcia</t>
  </si>
  <si>
    <t>CT-2024-100229</t>
  </si>
  <si>
    <t>ES-2024-100230</t>
  </si>
  <si>
    <t>ES-2022-100231</t>
  </si>
  <si>
    <t>Nancy Rodriguez</t>
  </si>
  <si>
    <t>ET-2022-100232</t>
  </si>
  <si>
    <t>ET-2024-100233</t>
  </si>
  <si>
    <t>WT-2021-100234</t>
  </si>
  <si>
    <t>Susan Smith</t>
  </si>
  <si>
    <t>CT-2021-100235</t>
  </si>
  <si>
    <t>Nancy Williams</t>
  </si>
  <si>
    <t>WT-2021-100236</t>
  </si>
  <si>
    <t>Robert Taylor</t>
  </si>
  <si>
    <t>WT-2022-100237</t>
  </si>
  <si>
    <t>ET-2023-100238</t>
  </si>
  <si>
    <t>ES-2024-100239</t>
  </si>
  <si>
    <t>ET-2024-100240</t>
  </si>
  <si>
    <t>William Miller</t>
  </si>
  <si>
    <t>ST-2024-100241</t>
  </si>
  <si>
    <t>William Hernandez</t>
  </si>
  <si>
    <t>CT-2024-100242</t>
  </si>
  <si>
    <t>ST-2022-100243</t>
  </si>
  <si>
    <t>Thomas Martinez</t>
  </si>
  <si>
    <t>CS-2024-100244</t>
  </si>
  <si>
    <t>Susan Davis</t>
  </si>
  <si>
    <t>SS-2023-100245</t>
  </si>
  <si>
    <t>Thomas Brown</t>
  </si>
  <si>
    <t>CS-2022-100246</t>
  </si>
  <si>
    <t>John Thomas</t>
  </si>
  <si>
    <t>CT-2021-100247</t>
  </si>
  <si>
    <t>Jessica Gonzalez</t>
  </si>
  <si>
    <t>SS-2021-100248</t>
  </si>
  <si>
    <t>Barbara Davis</t>
  </si>
  <si>
    <t>CT-2021-100249</t>
  </si>
  <si>
    <t>Jessica Jones</t>
  </si>
  <si>
    <t>CS-2022-100250</t>
  </si>
  <si>
    <t>Patricia Lopez</t>
  </si>
  <si>
    <t>SS-2021-100251</t>
  </si>
  <si>
    <t>Jessica Anderson</t>
  </si>
  <si>
    <t>CT-2024-100252</t>
  </si>
  <si>
    <t>ST-2022-100253</t>
  </si>
  <si>
    <t>Thomas Miller</t>
  </si>
  <si>
    <t>CS-2024-100254</t>
  </si>
  <si>
    <t>Charles Thomas</t>
  </si>
  <si>
    <t>ET-2022-100255</t>
  </si>
  <si>
    <t>ES-2022-100256</t>
  </si>
  <si>
    <t>SS-2024-100257</t>
  </si>
  <si>
    <t>Linda Brown</t>
  </si>
  <si>
    <t>ST-2021-100258</t>
  </si>
  <si>
    <t>ET-2024-100259</t>
  </si>
  <si>
    <t>SS-2024-100260</t>
  </si>
  <si>
    <t>ES-2021-100261</t>
  </si>
  <si>
    <t>John Anderson</t>
  </si>
  <si>
    <t>ES-2024-100262</t>
  </si>
  <si>
    <t>John Martin</t>
  </si>
  <si>
    <t>WT-2022-100263</t>
  </si>
  <si>
    <t>USB Flash Drive</t>
  </si>
  <si>
    <t>ET-2024-100264</t>
  </si>
  <si>
    <t>Robert Wilson</t>
  </si>
  <si>
    <t>WT-2023-100265</t>
  </si>
  <si>
    <t>Mary Jackson</t>
  </si>
  <si>
    <t>ST-2021-100266</t>
  </si>
  <si>
    <t>WT-2023-100267</t>
  </si>
  <si>
    <t>SS-2022-100268</t>
  </si>
  <si>
    <t>CT-2024-100269</t>
  </si>
  <si>
    <t>CS-2023-100270</t>
  </si>
  <si>
    <t>CT-2023-100271</t>
  </si>
  <si>
    <t>Barbara Taylor</t>
  </si>
  <si>
    <t>ET-2024-100272</t>
  </si>
  <si>
    <t>Barbara Lopez</t>
  </si>
  <si>
    <t>WT-2022-100273</t>
  </si>
  <si>
    <t>CT-2021-100274</t>
  </si>
  <si>
    <t>WT-2024-100275</t>
  </si>
  <si>
    <t>David Lopez</t>
  </si>
  <si>
    <t>ST-2024-100276</t>
  </si>
  <si>
    <t>Richard Brown</t>
  </si>
  <si>
    <t>CS-2023-100277</t>
  </si>
  <si>
    <t>ES-2023-100278</t>
  </si>
  <si>
    <t>ET-2024-100279</t>
  </si>
  <si>
    <t>SS-2024-100280</t>
  </si>
  <si>
    <t>Susan Taylor</t>
  </si>
  <si>
    <t>CS-2023-100281</t>
  </si>
  <si>
    <t>Filing Cart</t>
  </si>
  <si>
    <t>CS-2024-100282</t>
  </si>
  <si>
    <t>WS-2022-100283</t>
  </si>
  <si>
    <t>CS-2024-100284</t>
  </si>
  <si>
    <t>Michael Hernandez</t>
  </si>
  <si>
    <t>CS-2021-100285</t>
  </si>
  <si>
    <t>James Hernandez</t>
  </si>
  <si>
    <t>SS-2022-100286</t>
  </si>
  <si>
    <t>Linda Martin</t>
  </si>
  <si>
    <t>WS-2021-100287</t>
  </si>
  <si>
    <t>Mary Moore</t>
  </si>
  <si>
    <t>WS-2021-100288</t>
  </si>
  <si>
    <t>Barbara Martin</t>
  </si>
  <si>
    <t>WT-2023-100289</t>
  </si>
  <si>
    <t>CT-2021-100290</t>
  </si>
  <si>
    <t>Charles Moore</t>
  </si>
  <si>
    <t>ST-2023-100291</t>
  </si>
  <si>
    <t>Susan Thomas</t>
  </si>
  <si>
    <t>WT-2022-100292</t>
  </si>
  <si>
    <t>David Brown</t>
  </si>
  <si>
    <t>SS-2021-100293</t>
  </si>
  <si>
    <t>Charles Jones</t>
  </si>
  <si>
    <t>CS-2024-100294</t>
  </si>
  <si>
    <t>Joseph Martin</t>
  </si>
  <si>
    <t>WT-2022-100295</t>
  </si>
  <si>
    <t>WS-2022-100296</t>
  </si>
  <si>
    <t>Linda Thomas</t>
  </si>
  <si>
    <t>ET-2024-100297</t>
  </si>
  <si>
    <t>SS-2024-100298</t>
  </si>
  <si>
    <t>Elizabeth Martin</t>
  </si>
  <si>
    <t>CS-2023-100299</t>
  </si>
  <si>
    <t>CT-2022-100300</t>
  </si>
  <si>
    <t>Linda Lopez</t>
  </si>
  <si>
    <t>CS-2021-100301</t>
  </si>
  <si>
    <t>Patricia Miller</t>
  </si>
  <si>
    <t>CS-2021-100302</t>
  </si>
  <si>
    <t>Sarah Martin</t>
  </si>
  <si>
    <t>ET-2021-100303</t>
  </si>
  <si>
    <t>SS-2021-100304</t>
  </si>
  <si>
    <t>WS-2024-100305</t>
  </si>
  <si>
    <t>CT-2023-100307</t>
  </si>
  <si>
    <t>ET-2022-100308</t>
  </si>
  <si>
    <t>CS-2022-100309</t>
  </si>
  <si>
    <t>Sarah Miller</t>
  </si>
  <si>
    <t>CT-2022-100310</t>
  </si>
  <si>
    <t>Nancy Smith</t>
  </si>
  <si>
    <t>SS-2022-100311</t>
  </si>
  <si>
    <t>ES-2023-100312</t>
  </si>
  <si>
    <t>Michael Gonzalez</t>
  </si>
  <si>
    <t>CT-2024-100313</t>
  </si>
  <si>
    <t>CS-2021-100314</t>
  </si>
  <si>
    <t>WT-2023-100315</t>
  </si>
  <si>
    <t>ST-2022-100316</t>
  </si>
  <si>
    <t>Susan Lopez</t>
  </si>
  <si>
    <t>CT-2024-100317</t>
  </si>
  <si>
    <t>ST-2024-100318</t>
  </si>
  <si>
    <t>John Williams</t>
  </si>
  <si>
    <t>WT-2022-100319</t>
  </si>
  <si>
    <t>Charles Taylor</t>
  </si>
  <si>
    <t>WT-2022-100320</t>
  </si>
  <si>
    <t>ES-2022-100321</t>
  </si>
  <si>
    <t>WT-2024-100322</t>
  </si>
  <si>
    <t>ST-2023-100323</t>
  </si>
  <si>
    <t>WT-2022-100324</t>
  </si>
  <si>
    <t>Elizabeth Smith</t>
  </si>
  <si>
    <t>WS-2024-100325</t>
  </si>
  <si>
    <t>William Williams</t>
  </si>
  <si>
    <t>CT-2023-100326</t>
  </si>
  <si>
    <t>WS-2022-100327</t>
  </si>
  <si>
    <t>John Jones</t>
  </si>
  <si>
    <t>WS-2023-100328</t>
  </si>
  <si>
    <t>Mary Rodriguez</t>
  </si>
  <si>
    <t>ST-2021-100329</t>
  </si>
  <si>
    <t>ES-2023-100330</t>
  </si>
  <si>
    <t>ST-2021-100331</t>
  </si>
  <si>
    <t>ET-2024-100332</t>
  </si>
  <si>
    <t>ET-2021-100333</t>
  </si>
  <si>
    <t>CS-2024-100334</t>
  </si>
  <si>
    <t>Karen Lopez</t>
  </si>
  <si>
    <t>CT-2023-100335</t>
  </si>
  <si>
    <t>James Taylor</t>
  </si>
  <si>
    <t>ET-2021-100336</t>
  </si>
  <si>
    <t>Karen Jones</t>
  </si>
  <si>
    <t>CS-2023-100337</t>
  </si>
  <si>
    <t>Michael Brown</t>
  </si>
  <si>
    <t>ES-2023-100338</t>
  </si>
  <si>
    <t>SS-2023-100339</t>
  </si>
  <si>
    <t>ES-2021-100340</t>
  </si>
  <si>
    <t>Charles Garcia</t>
  </si>
  <si>
    <t>ET-2024-100341</t>
  </si>
  <si>
    <t>Linda Moore</t>
  </si>
  <si>
    <t>CS-2023-100342</t>
  </si>
  <si>
    <t>CT-2021-100343</t>
  </si>
  <si>
    <t>James Martinez</t>
  </si>
  <si>
    <t>CT-2023-100344</t>
  </si>
  <si>
    <t>Susan Jones</t>
  </si>
  <si>
    <t>CT-2021-100345</t>
  </si>
  <si>
    <t>Sarah Garcia</t>
  </si>
  <si>
    <t>CT-2021-100346</t>
  </si>
  <si>
    <t>ST-2024-100347</t>
  </si>
  <si>
    <t>WT-2021-100348</t>
  </si>
  <si>
    <t>John Gonzalez</t>
  </si>
  <si>
    <t>WT-2023-100349</t>
  </si>
  <si>
    <t>ET-2022-100350</t>
  </si>
  <si>
    <t>SS-2024-100351</t>
  </si>
  <si>
    <t>ET-2023-100352</t>
  </si>
  <si>
    <t>Karen Thomas</t>
  </si>
  <si>
    <t>ET-2021-100353</t>
  </si>
  <si>
    <t>ET-2023-100354</t>
  </si>
  <si>
    <t>ES-2021-100355</t>
  </si>
  <si>
    <t>James Lopez</t>
  </si>
  <si>
    <t>CT-2021-100356</t>
  </si>
  <si>
    <t>WT-2023-100357</t>
  </si>
  <si>
    <t>WS-2022-100358</t>
  </si>
  <si>
    <t>ET-2021-100359</t>
  </si>
  <si>
    <t>Joseph Rodriguez</t>
  </si>
  <si>
    <t>ET-2024-100360</t>
  </si>
  <si>
    <t>CS-2021-100361</t>
  </si>
  <si>
    <t>WS-2024-100362</t>
  </si>
  <si>
    <t>Nancy Gonzalez</t>
  </si>
  <si>
    <t>SS-2021-100363</t>
  </si>
  <si>
    <t>ST-2022-100364</t>
  </si>
  <si>
    <t>SS-2024-100365</t>
  </si>
  <si>
    <t>ST-2024-100366</t>
  </si>
  <si>
    <t>Susan Williams</t>
  </si>
  <si>
    <t>WS-2022-100367</t>
  </si>
  <si>
    <t>Linda Johnson</t>
  </si>
  <si>
    <t>CT-2021-100368</t>
  </si>
  <si>
    <t>Sarah Moore</t>
  </si>
  <si>
    <t>WT-2023-100369</t>
  </si>
  <si>
    <t>Nancy Moore</t>
  </si>
  <si>
    <t>WS-2021-100370</t>
  </si>
  <si>
    <t>WT-2024-100371</t>
  </si>
  <si>
    <t>Mary Williams</t>
  </si>
  <si>
    <t>CT-2022-100372</t>
  </si>
  <si>
    <t>ET-2021-100373</t>
  </si>
  <si>
    <t>WS-2023-100374</t>
  </si>
  <si>
    <t>James Brown</t>
  </si>
  <si>
    <t>ES-2021-100375</t>
  </si>
  <si>
    <t>CS-2024-100376</t>
  </si>
  <si>
    <t>David Hernandez</t>
  </si>
  <si>
    <t>ST-2024-100377</t>
  </si>
  <si>
    <t>ES-2021-100378</t>
  </si>
  <si>
    <t>Charles Martin</t>
  </si>
  <si>
    <t>ET-2021-100379</t>
  </si>
  <si>
    <t>Michael Taylor</t>
  </si>
  <si>
    <t>ET-2023-100380</t>
  </si>
  <si>
    <t>ES-2021-100381</t>
  </si>
  <si>
    <t>ES-2022-100382</t>
  </si>
  <si>
    <t>ST-2021-100383</t>
  </si>
  <si>
    <t>CS-2024-100384</t>
  </si>
  <si>
    <t>Patricia Gonzalez</t>
  </si>
  <si>
    <t>ST-2022-100385</t>
  </si>
  <si>
    <t>ET-2023-100386</t>
  </si>
  <si>
    <t>CT-2021-100387</t>
  </si>
  <si>
    <t>Nancy Jackson</t>
  </si>
  <si>
    <t>SS-2022-100388</t>
  </si>
  <si>
    <t>ES-2024-100389</t>
  </si>
  <si>
    <t>CS-2022-100390</t>
  </si>
  <si>
    <t>John Miller</t>
  </si>
  <si>
    <t>WT-2024-100391</t>
  </si>
  <si>
    <t>ST-2024-100392</t>
  </si>
  <si>
    <t>James Davis</t>
  </si>
  <si>
    <t>CT-2022-100393</t>
  </si>
  <si>
    <t>WT-2023-100394</t>
  </si>
  <si>
    <t>SS-2022-100395</t>
  </si>
  <si>
    <t>Thomas Rodriguez</t>
  </si>
  <si>
    <t>ET-2021-100396</t>
  </si>
  <si>
    <t>WT-2021-100397</t>
  </si>
  <si>
    <t>ST-2022-100398</t>
  </si>
  <si>
    <t>Mary Thomas</t>
  </si>
  <si>
    <t>ET-2023-100399</t>
  </si>
  <si>
    <t>WS-2023-100400</t>
  </si>
  <si>
    <t>David Williams</t>
  </si>
  <si>
    <t>ST-2023-100401</t>
  </si>
  <si>
    <t>ST-2022-100402</t>
  </si>
  <si>
    <t>CT-2023-100403</t>
  </si>
  <si>
    <t>CS-2022-100404</t>
  </si>
  <si>
    <t>David Moore</t>
  </si>
  <si>
    <t>ES-2024-100405</t>
  </si>
  <si>
    <t>James Martin</t>
  </si>
  <si>
    <t>WS-2021-100406</t>
  </si>
  <si>
    <t>William Martinez</t>
  </si>
  <si>
    <t>ST-2022-100407</t>
  </si>
  <si>
    <t>Richard Hernandez</t>
  </si>
  <si>
    <t>CT-2024-100408</t>
  </si>
  <si>
    <t>Michael Martin</t>
  </si>
  <si>
    <t>SS-2024-100409</t>
  </si>
  <si>
    <t>James Johnson</t>
  </si>
  <si>
    <t>CT-2021-100410</t>
  </si>
  <si>
    <t>ST-2024-100411</t>
  </si>
  <si>
    <t>WT-2022-100412</t>
  </si>
  <si>
    <t>ES-2024-100413</t>
  </si>
  <si>
    <t>Mary Hernandez</t>
  </si>
  <si>
    <t>ES-2024-100414</t>
  </si>
  <si>
    <t>WS-2021-100415</t>
  </si>
  <si>
    <t>Patricia Thomas</t>
  </si>
  <si>
    <t>ES-2023-100416</t>
  </si>
  <si>
    <t>ES-2024-100417</t>
  </si>
  <si>
    <t>WT-2021-100418</t>
  </si>
  <si>
    <t>Robert Miller</t>
  </si>
  <si>
    <t>SS-2024-100419</t>
  </si>
  <si>
    <t>WS-2024-100420</t>
  </si>
  <si>
    <t>Patricia Jones</t>
  </si>
  <si>
    <t>ST-2024-100421</t>
  </si>
  <si>
    <t>WT-2021-100422</t>
  </si>
  <si>
    <t>ES-2022-100423</t>
  </si>
  <si>
    <t>SS-2022-100424</t>
  </si>
  <si>
    <t>CT-2024-100425</t>
  </si>
  <si>
    <t>CS-2022-100426</t>
  </si>
  <si>
    <t>Jessica Johnson</t>
  </si>
  <si>
    <t>WT-2024-100428</t>
  </si>
  <si>
    <t>SS-2024-100429</t>
  </si>
  <si>
    <t>CS-2024-100430</t>
  </si>
  <si>
    <t>SS-2022-100431</t>
  </si>
  <si>
    <t>ET-2022-100432</t>
  </si>
  <si>
    <t>CS-2024-100433</t>
  </si>
  <si>
    <t>ST-2021-100434</t>
  </si>
  <si>
    <t>Jessica Jackson</t>
  </si>
  <si>
    <t>ST-2023-100435</t>
  </si>
  <si>
    <t>Barbara Thomas</t>
  </si>
  <si>
    <t>ES-2024-100436</t>
  </si>
  <si>
    <t>Linda Davis</t>
  </si>
  <si>
    <t>CS-2022-100437</t>
  </si>
  <si>
    <t>CT-2021-100438</t>
  </si>
  <si>
    <t>SS-2021-100439</t>
  </si>
  <si>
    <t>ES-2022-100440</t>
  </si>
  <si>
    <t>Thomas Gonzalez</t>
  </si>
  <si>
    <t>CT-2023-100441</t>
  </si>
  <si>
    <t>CT-2023-100442</t>
  </si>
  <si>
    <t>WT-2021-100443</t>
  </si>
  <si>
    <t>Jessica Garcia</t>
  </si>
  <si>
    <t>WT-2024-100444</t>
  </si>
  <si>
    <t>WT-2022-100445</t>
  </si>
  <si>
    <t>ET-2024-100446</t>
  </si>
  <si>
    <t>CT-2023-100447</t>
  </si>
  <si>
    <t>Susan Johnson</t>
  </si>
  <si>
    <t>ET-2024-100448</t>
  </si>
  <si>
    <t>William Lopez</t>
  </si>
  <si>
    <t>WS-2023-100449</t>
  </si>
  <si>
    <t>Thomas Davis</t>
  </si>
  <si>
    <t>ST-2021-100450</t>
  </si>
  <si>
    <t>CS-2021-100451</t>
  </si>
  <si>
    <t>ET-2022-100452</t>
  </si>
  <si>
    <t>ET-2022-100453</t>
  </si>
  <si>
    <t>Charles Lopez</t>
  </si>
  <si>
    <t>WS-2021-100454</t>
  </si>
  <si>
    <t>CT-2022-100455</t>
  </si>
  <si>
    <t>Patricia Anderson</t>
  </si>
  <si>
    <t>ST-2021-100456</t>
  </si>
  <si>
    <t>Joseph Davis</t>
  </si>
  <si>
    <t>CT-2024-100457</t>
  </si>
  <si>
    <t>ET-2021-100458</t>
  </si>
  <si>
    <t>CT-2022-100459</t>
  </si>
  <si>
    <t>Robert Anderson</t>
  </si>
  <si>
    <t>WT-2024-100461</t>
  </si>
  <si>
    <t>ES-2023-100462</t>
  </si>
  <si>
    <t>SS-2021-100463</t>
  </si>
  <si>
    <t>Thomas Johnson</t>
  </si>
  <si>
    <t>ST-2022-100464</t>
  </si>
  <si>
    <t>Charles Smith</t>
  </si>
  <si>
    <t>SS-2022-100465</t>
  </si>
  <si>
    <t>ST-2024-100467</t>
  </si>
  <si>
    <t>Susan Wilson</t>
  </si>
  <si>
    <t>ES-2022-100468</t>
  </si>
  <si>
    <t>Charles Hernandez</t>
  </si>
  <si>
    <t>ST-2023-100469</t>
  </si>
  <si>
    <t>William Martin</t>
  </si>
  <si>
    <t>WT-2024-100470</t>
  </si>
  <si>
    <t>Charles Johnson</t>
  </si>
  <si>
    <t>CT-2023-100471</t>
  </si>
  <si>
    <t>CT-2021-100472</t>
  </si>
  <si>
    <t>CS-2024-100473</t>
  </si>
  <si>
    <t>ET-2021-100474</t>
  </si>
  <si>
    <t>Sarah Williams</t>
  </si>
  <si>
    <t>CT-2023-100475</t>
  </si>
  <si>
    <t>Jessica Rodriguez</t>
  </si>
  <si>
    <t>SS-2024-100476</t>
  </si>
  <si>
    <t>CT-2024-100477</t>
  </si>
  <si>
    <t>WS-2022-100478</t>
  </si>
  <si>
    <t>ET-2023-100479</t>
  </si>
  <si>
    <t>Thomas Williams</t>
  </si>
  <si>
    <t>CS-2024-100480</t>
  </si>
  <si>
    <t>Elizabeth Hernandez</t>
  </si>
  <si>
    <t>ES-2021-100481</t>
  </si>
  <si>
    <t>CS-2023-100482</t>
  </si>
  <si>
    <t>Karen Martin</t>
  </si>
  <si>
    <t>ST-2022-100484</t>
  </si>
  <si>
    <t>WS-2022-100485</t>
  </si>
  <si>
    <t>ST-2024-100486</t>
  </si>
  <si>
    <t>John Brown</t>
  </si>
  <si>
    <t>ET-2024-100487</t>
  </si>
  <si>
    <t>WT-2021-100488</t>
  </si>
  <si>
    <t>ET-2022-100489</t>
  </si>
  <si>
    <t>SS-2024-100490</t>
  </si>
  <si>
    <t>SS-2021-100491</t>
  </si>
  <si>
    <t>WS-2024-100492</t>
  </si>
  <si>
    <t>Jessica Williams</t>
  </si>
  <si>
    <t>ET-2023-100493</t>
  </si>
  <si>
    <t>ES-2024-100494</t>
  </si>
  <si>
    <t>ET-2021-100495</t>
  </si>
  <si>
    <t>ST-2024-100496</t>
  </si>
  <si>
    <t>Sarah Rodriguez</t>
  </si>
  <si>
    <t>ES-2024-100497</t>
  </si>
  <si>
    <t>CT-2021-100498</t>
  </si>
  <si>
    <t>ES-2021-100499</t>
  </si>
  <si>
    <t>Thomas Smith</t>
  </si>
  <si>
    <t>WT-2023-100500</t>
  </si>
  <si>
    <t>WS-2021-100501</t>
  </si>
  <si>
    <t>SS-2024-100502</t>
  </si>
  <si>
    <t>WT-2023-100503</t>
  </si>
  <si>
    <t>ET-2023-100504</t>
  </si>
  <si>
    <t>SS-2023-100505</t>
  </si>
  <si>
    <t>ET-2021-100506</t>
  </si>
  <si>
    <t>ST-2024-100507</t>
  </si>
  <si>
    <t>ST-2021-100508</t>
  </si>
  <si>
    <t>WT-2022-100509</t>
  </si>
  <si>
    <t>ES-2022-100510</t>
  </si>
  <si>
    <t>ET-2021-100511</t>
  </si>
  <si>
    <t>SS-2021-100512</t>
  </si>
  <si>
    <t>WS-2023-100513</t>
  </si>
  <si>
    <t>Jessica Wilson</t>
  </si>
  <si>
    <t>WT-2023-100515</t>
  </si>
  <si>
    <t>ST-2024-100516</t>
  </si>
  <si>
    <t>SS-2022-100517</t>
  </si>
  <si>
    <t>James Smith</t>
  </si>
  <si>
    <t>WS-2021-100518</t>
  </si>
  <si>
    <t>Joseph Martinez</t>
  </si>
  <si>
    <t>SS-2022-100519</t>
  </si>
  <si>
    <t>Patricia Hernandez</t>
  </si>
  <si>
    <t>CT-2021-100520</t>
  </si>
  <si>
    <t>John Lopez</t>
  </si>
  <si>
    <t>CS-2023-100514</t>
  </si>
  <si>
    <t>ET-2023-100483</t>
  </si>
  <si>
    <t>Linda Jackson</t>
  </si>
  <si>
    <t>This is the ORIGINAL, unprocessed export (kept for audit). It contains 10 fully blank rows and 21 duplicate rows, plus a few missing Sales values and inconsistent date formats — these were fixed in the 'Sales_Data' sheet (Task 1).</t>
  </si>
  <si>
    <t>10/13/2021</t>
  </si>
  <si>
    <t>10/19/2021</t>
  </si>
  <si>
    <t>07/09/2023</t>
  </si>
  <si>
    <t>07/14/2023</t>
  </si>
  <si>
    <t>01/06/2023</t>
  </si>
  <si>
    <t>01/13/2023</t>
  </si>
  <si>
    <t>09/16/2024</t>
  </si>
  <si>
    <t>09/18/2024</t>
  </si>
  <si>
    <t>12/08/2024</t>
  </si>
  <si>
    <t>12/14/2024</t>
  </si>
  <si>
    <t>03/07/2021</t>
  </si>
  <si>
    <t>03/14/2021</t>
  </si>
  <si>
    <t>04/12/2024</t>
  </si>
  <si>
    <t>04/16/2024</t>
  </si>
  <si>
    <t>05/06/2024</t>
  </si>
  <si>
    <t>05/07/2024</t>
  </si>
  <si>
    <t>06/24/2022</t>
  </si>
  <si>
    <t>06/29/2022</t>
  </si>
  <si>
    <t>05/11/2024</t>
  </si>
  <si>
    <t>05/14/2024</t>
  </si>
  <si>
    <t>09/13/2024</t>
  </si>
  <si>
    <t>09/17/2024</t>
  </si>
  <si>
    <t>05/12/2021</t>
  </si>
  <si>
    <t>05/15/2021</t>
  </si>
  <si>
    <t>10/02/2024</t>
  </si>
  <si>
    <t>10/06/2024</t>
  </si>
  <si>
    <t>04/21/2021</t>
  </si>
  <si>
    <t>04/27/2021</t>
  </si>
  <si>
    <t>05/27/2022</t>
  </si>
  <si>
    <t>06/03/2022</t>
  </si>
  <si>
    <t>12/04/2021</t>
  </si>
  <si>
    <t>12/08/2021</t>
  </si>
  <si>
    <t>01/16/2024</t>
  </si>
  <si>
    <t>01/17/2024</t>
  </si>
  <si>
    <t>09/03/2021</t>
  </si>
  <si>
    <t>09/08/2021</t>
  </si>
  <si>
    <t>06/28/2022</t>
  </si>
  <si>
    <t>07/02/2022</t>
  </si>
  <si>
    <t>12/16/2022</t>
  </si>
  <si>
    <t>12/17/2022</t>
  </si>
  <si>
    <t>02/08/2024</t>
  </si>
  <si>
    <t>02/10/2024</t>
  </si>
  <si>
    <t>01/08/2021</t>
  </si>
  <si>
    <t>01/11/2021</t>
  </si>
  <si>
    <t>03/15/2021</t>
  </si>
  <si>
    <t>03/22/2021</t>
  </si>
  <si>
    <t>04/13/2023</t>
  </si>
  <si>
    <t>04/18/2023</t>
  </si>
  <si>
    <t>02/23/2023</t>
  </si>
  <si>
    <t>03/02/2023</t>
  </si>
  <si>
    <t>07/26/2022</t>
  </si>
  <si>
    <t>07/29/2022</t>
  </si>
  <si>
    <t>10/05/2022</t>
  </si>
  <si>
    <t>10/09/2022</t>
  </si>
  <si>
    <t>ES-2023-100028</t>
  </si>
  <si>
    <t>2023-06-03</t>
  </si>
  <si>
    <t>06/04/2023</t>
  </si>
  <si>
    <t>Elizabeth Taylor</t>
  </si>
  <si>
    <t>01/28/2022</t>
  </si>
  <si>
    <t>02/01/2022</t>
  </si>
  <si>
    <t>08/11/2023</t>
  </si>
  <si>
    <t>08/15/2023</t>
  </si>
  <si>
    <t>10/29/2021</t>
  </si>
  <si>
    <t>10/30/2021</t>
  </si>
  <si>
    <t>11/09/2024</t>
  </si>
  <si>
    <t>11/10/2024</t>
  </si>
  <si>
    <t>12/24/2023</t>
  </si>
  <si>
    <t>12/29/2023</t>
  </si>
  <si>
    <t>12/04/2023</t>
  </si>
  <si>
    <t>12/08/2023</t>
  </si>
  <si>
    <t>12/17/2024</t>
  </si>
  <si>
    <t>12/19/2024</t>
  </si>
  <si>
    <t>09/04/2022</t>
  </si>
  <si>
    <t>09/11/2022</t>
  </si>
  <si>
    <t>04/09/2023</t>
  </si>
  <si>
    <t>04/15/2023</t>
  </si>
  <si>
    <t>04/13/2021</t>
  </si>
  <si>
    <t>04/16/2021</t>
  </si>
  <si>
    <t>04/05/2022</t>
  </si>
  <si>
    <t>04/11/2022</t>
  </si>
  <si>
    <t>03/23/2022</t>
  </si>
  <si>
    <t>03/27/2022</t>
  </si>
  <si>
    <t>02/11/2022</t>
  </si>
  <si>
    <t>02/12/2022</t>
  </si>
  <si>
    <t>11/03/2023</t>
  </si>
  <si>
    <t>11/09/2023</t>
  </si>
  <si>
    <t>01/08/2024</t>
  </si>
  <si>
    <t>01/15/2024</t>
  </si>
  <si>
    <t>02/28/2021</t>
  </si>
  <si>
    <t>03/04/2021</t>
  </si>
  <si>
    <t>04/17/2023</t>
  </si>
  <si>
    <t>04/06/2024</t>
  </si>
  <si>
    <t>04/09/2024</t>
  </si>
  <si>
    <t>09/02/2021</t>
  </si>
  <si>
    <t>09/12/2022</t>
  </si>
  <si>
    <t>09/13/2022</t>
  </si>
  <si>
    <t>09/08/2023</t>
  </si>
  <si>
    <t>09/12/2023</t>
  </si>
  <si>
    <t>11/02/2021</t>
  </si>
  <si>
    <t>11/09/2021</t>
  </si>
  <si>
    <t>05/29/2023</t>
  </si>
  <si>
    <t>06/01/2023</t>
  </si>
  <si>
    <t>01/06/2021</t>
  </si>
  <si>
    <t>01/10/2021</t>
  </si>
  <si>
    <t>08/24/2021</t>
  </si>
  <si>
    <t>08/29/2021</t>
  </si>
  <si>
    <t>04/05/2023</t>
  </si>
  <si>
    <t>04/08/2023</t>
  </si>
  <si>
    <t>04/17/2024</t>
  </si>
  <si>
    <t>04/18/2024</t>
  </si>
  <si>
    <t>07/06/2021</t>
  </si>
  <si>
    <t>07/10/2021</t>
  </si>
  <si>
    <t>06/30/2021</t>
  </si>
  <si>
    <t>07/03/2021</t>
  </si>
  <si>
    <t>06/25/2023</t>
  </si>
  <si>
    <t>07/02/2023</t>
  </si>
  <si>
    <t>07/12/2021</t>
  </si>
  <si>
    <t>02/03/2024</t>
  </si>
  <si>
    <t>02/05/2024</t>
  </si>
  <si>
    <t>11/01/2021</t>
  </si>
  <si>
    <t>11/05/2021</t>
  </si>
  <si>
    <t>10/14/2022</t>
  </si>
  <si>
    <t>10/20/2022</t>
  </si>
  <si>
    <t>10/23/2021</t>
  </si>
  <si>
    <t>10/27/2021</t>
  </si>
  <si>
    <t>07/07/2024</t>
  </si>
  <si>
    <t>07/13/2024</t>
  </si>
  <si>
    <t>06/28/2023</t>
  </si>
  <si>
    <t>06/30/2023</t>
  </si>
  <si>
    <t>12/15/2021</t>
  </si>
  <si>
    <t>12/17/2021</t>
  </si>
  <si>
    <t>08/14/2023</t>
  </si>
  <si>
    <t>09/17/2023</t>
  </si>
  <si>
    <t>09/18/2023</t>
  </si>
  <si>
    <t>05/28/2024</t>
  </si>
  <si>
    <t>06/04/2024</t>
  </si>
  <si>
    <t>08/28/2022</t>
  </si>
  <si>
    <t>08/31/2022</t>
  </si>
  <si>
    <t>11/25/2022</t>
  </si>
  <si>
    <t>12/02/2022</t>
  </si>
  <si>
    <t>01/25/2023</t>
  </si>
  <si>
    <t>01/31/2023</t>
  </si>
  <si>
    <t>08/09/2023</t>
  </si>
  <si>
    <t>10/05/2024</t>
  </si>
  <si>
    <t>10/11/2024</t>
  </si>
  <si>
    <t>04/14/2021</t>
  </si>
  <si>
    <t>10/24/2021</t>
  </si>
  <si>
    <t>10/26/2021</t>
  </si>
  <si>
    <t>05/13/2023</t>
  </si>
  <si>
    <t>05/18/2023</t>
  </si>
  <si>
    <t>08/10/2024</t>
  </si>
  <si>
    <t>08/11/2024</t>
  </si>
  <si>
    <t>07/02/2024</t>
  </si>
  <si>
    <t>07/08/2024</t>
  </si>
  <si>
    <t>07/16/2023</t>
  </si>
  <si>
    <t>07/13/2021</t>
  </si>
  <si>
    <t>04/19/2021</t>
  </si>
  <si>
    <t>04/09/2022</t>
  </si>
  <si>
    <t>04/16/2022</t>
  </si>
  <si>
    <t>05/23/2021</t>
  </si>
  <si>
    <t>05/25/2021</t>
  </si>
  <si>
    <t>05/31/2023</t>
  </si>
  <si>
    <t>06/08/2022</t>
  </si>
  <si>
    <t>06/11/2022</t>
  </si>
  <si>
    <t>06/13/2023</t>
  </si>
  <si>
    <t>06/14/2023</t>
  </si>
  <si>
    <t>07/04/2021</t>
  </si>
  <si>
    <t>07/20/2024</t>
  </si>
  <si>
    <t>07/21/2024</t>
  </si>
  <si>
    <t>12/29/2021</t>
  </si>
  <si>
    <t>01/05/2022</t>
  </si>
  <si>
    <t>04/26/2021</t>
  </si>
  <si>
    <t>04/29/2021</t>
  </si>
  <si>
    <t>07/11/2023</t>
  </si>
  <si>
    <t>07/18/2023</t>
  </si>
  <si>
    <t>12/20/2024</t>
  </si>
  <si>
    <t>12/24/2024</t>
  </si>
  <si>
    <t>08/05/2022</t>
  </si>
  <si>
    <t>08/08/2022</t>
  </si>
  <si>
    <t>02/19/2024</t>
  </si>
  <si>
    <t>02/23/2024</t>
  </si>
  <si>
    <t>09/23/2023</t>
  </si>
  <si>
    <t>09/25/2023</t>
  </si>
  <si>
    <t>11/29/2021</t>
  </si>
  <si>
    <t>12/01/2021</t>
  </si>
  <si>
    <t>04/25/2022</t>
  </si>
  <si>
    <t>04/30/2022</t>
  </si>
  <si>
    <t>02/13/2022</t>
  </si>
  <si>
    <t>02/20/2022</t>
  </si>
  <si>
    <t>11/18/2023</t>
  </si>
  <si>
    <t>11/20/2023</t>
  </si>
  <si>
    <t>04/06/2022</t>
  </si>
  <si>
    <t>06/09/2022</t>
  </si>
  <si>
    <t>05/09/2021</t>
  </si>
  <si>
    <t>05/10/2021</t>
  </si>
  <si>
    <t>09/30/2024</t>
  </si>
  <si>
    <t>10/01/2024</t>
  </si>
  <si>
    <t>12/08/2022</t>
  </si>
  <si>
    <t>12/10/2022</t>
  </si>
  <si>
    <t>10/04/2021</t>
  </si>
  <si>
    <t>10/05/2021</t>
  </si>
  <si>
    <t>06/04/2022</t>
  </si>
  <si>
    <t>01/18/2022</t>
  </si>
  <si>
    <t>01/22/2022</t>
  </si>
  <si>
    <t>08/29/2022</t>
  </si>
  <si>
    <t>09/01/2022</t>
  </si>
  <si>
    <t>10/12/2024</t>
  </si>
  <si>
    <t>02/24/2023</t>
  </si>
  <si>
    <t>03/01/2023</t>
  </si>
  <si>
    <t>08/21/2021</t>
  </si>
  <si>
    <t>08/22/2021</t>
  </si>
  <si>
    <t>09/09/2021</t>
  </si>
  <si>
    <t>09/11/2021</t>
  </si>
  <si>
    <t>12/28/2024</t>
  </si>
  <si>
    <t>01/03/2025</t>
  </si>
  <si>
    <t>02/04/2024</t>
  </si>
  <si>
    <t>02/06/2024</t>
  </si>
  <si>
    <t>10/24/2024</t>
  </si>
  <si>
    <t>10/29/2024</t>
  </si>
  <si>
    <t>04/07/2022</t>
  </si>
  <si>
    <t>04/10/2022</t>
  </si>
  <si>
    <t>09/11/2024</t>
  </si>
  <si>
    <t>10/17/2023</t>
  </si>
  <si>
    <t>10/23/2023</t>
  </si>
  <si>
    <t>11/28/2022</t>
  </si>
  <si>
    <t>12/03/2022</t>
  </si>
  <si>
    <t>05/23/2022</t>
  </si>
  <si>
    <t>05/25/2022</t>
  </si>
  <si>
    <t>10/19/2023</t>
  </si>
  <si>
    <t>10/22/2023</t>
  </si>
  <si>
    <t>08/22/2023</t>
  </si>
  <si>
    <t>08/25/2023</t>
  </si>
  <si>
    <t>02/11/2024</t>
  </si>
  <si>
    <t>01/19/2023</t>
  </si>
  <si>
    <t>01/26/2023</t>
  </si>
  <si>
    <t>11/03/2022</t>
  </si>
  <si>
    <t>11/08/2022</t>
  </si>
  <si>
    <t>09/23/2022</t>
  </si>
  <si>
    <t>09/30/2022</t>
  </si>
  <si>
    <t>02/18/2023</t>
  </si>
  <si>
    <t>02/20/2023</t>
  </si>
  <si>
    <t>10/25/2023</t>
  </si>
  <si>
    <t>11/01/2023</t>
  </si>
  <si>
    <t>01/24/2024</t>
  </si>
  <si>
    <t>01/27/2024</t>
  </si>
  <si>
    <t>12/18/2024</t>
  </si>
  <si>
    <t>07/01/2023</t>
  </si>
  <si>
    <t>04/18/2021</t>
  </si>
  <si>
    <t>08/14/2022</t>
  </si>
  <si>
    <t>01/17/2022</t>
  </si>
  <si>
    <t>01/23/2022</t>
  </si>
  <si>
    <t>11/09/2022</t>
  </si>
  <si>
    <t>11/11/2022</t>
  </si>
  <si>
    <t>WS-2023-100139</t>
  </si>
  <si>
    <t>2023-11-22</t>
  </si>
  <si>
    <t>11/25/2023</t>
  </si>
  <si>
    <t>09/16/2022</t>
  </si>
  <si>
    <t>11/14/2024</t>
  </si>
  <si>
    <t>11/15/2024</t>
  </si>
  <si>
    <t>08/23/2023</t>
  </si>
  <si>
    <t>08/30/2023</t>
  </si>
  <si>
    <t>12/03/2021</t>
  </si>
  <si>
    <t>12/06/2021</t>
  </si>
  <si>
    <t>05/04/2021</t>
  </si>
  <si>
    <t>01/14/2024</t>
  </si>
  <si>
    <t>06/14/2021</t>
  </si>
  <si>
    <t>06/20/2021</t>
  </si>
  <si>
    <t>08/07/2023</t>
  </si>
  <si>
    <t>08/13/2023</t>
  </si>
  <si>
    <t>05/08/2022</t>
  </si>
  <si>
    <t>05/10/2022</t>
  </si>
  <si>
    <t>10/29/2023</t>
  </si>
  <si>
    <t>07/06/2024</t>
  </si>
  <si>
    <t>07/12/2024</t>
  </si>
  <si>
    <t>08/28/2023</t>
  </si>
  <si>
    <t>06/11/2021</t>
  </si>
  <si>
    <t>06/15/2021</t>
  </si>
  <si>
    <t>09/09/2023</t>
  </si>
  <si>
    <t>09/11/2023</t>
  </si>
  <si>
    <t>03/24/2023</t>
  </si>
  <si>
    <t>03/26/2023</t>
  </si>
  <si>
    <t>02/21/2022</t>
  </si>
  <si>
    <t>02/24/2022</t>
  </si>
  <si>
    <t>03/12/2024</t>
  </si>
  <si>
    <t>03/19/2024</t>
  </si>
  <si>
    <t>01/22/2024</t>
  </si>
  <si>
    <t>08/11/2022</t>
  </si>
  <si>
    <t>08/12/2022</t>
  </si>
  <si>
    <t>WS-2022-100160</t>
  </si>
  <si>
    <t>2022-07-02</t>
  </si>
  <si>
    <t>07/09/2022</t>
  </si>
  <si>
    <t>09/02/2023</t>
  </si>
  <si>
    <t>09/03/2023</t>
  </si>
  <si>
    <t>04/06/2021</t>
  </si>
  <si>
    <t>04/07/2021</t>
  </si>
  <si>
    <t>03/06/2024</t>
  </si>
  <si>
    <t>03/13/2024</t>
  </si>
  <si>
    <t>05/24/2024</t>
  </si>
  <si>
    <t>05/31/2024</t>
  </si>
  <si>
    <t>01/16/2022</t>
  </si>
  <si>
    <t>03/09/2023</t>
  </si>
  <si>
    <t>03/12/2023</t>
  </si>
  <si>
    <t>ET-2021-100167</t>
  </si>
  <si>
    <t>2021-07-31</t>
  </si>
  <si>
    <t>08/01/2021</t>
  </si>
  <si>
    <t>Richard Smith</t>
  </si>
  <si>
    <t>03/17/2024</t>
  </si>
  <si>
    <t>03/22/2024</t>
  </si>
  <si>
    <t>06/07/2021</t>
  </si>
  <si>
    <t>06/10/2021</t>
  </si>
  <si>
    <t>11/06/2022</t>
  </si>
  <si>
    <t>11/10/2022</t>
  </si>
  <si>
    <t>03/25/2024</t>
  </si>
  <si>
    <t>04/01/2024</t>
  </si>
  <si>
    <t>06/17/2023</t>
  </si>
  <si>
    <t>06/24/2023</t>
  </si>
  <si>
    <t>02/12/2023</t>
  </si>
  <si>
    <t>02/13/2023</t>
  </si>
  <si>
    <t>08/18/2024</t>
  </si>
  <si>
    <t>08/23/2024</t>
  </si>
  <si>
    <t>07/05/2023</t>
  </si>
  <si>
    <t>10/01/2022</t>
  </si>
  <si>
    <t>10/04/2022</t>
  </si>
  <si>
    <t>12/04/2022</t>
  </si>
  <si>
    <t>04/10/2023</t>
  </si>
  <si>
    <t>04/16/2023</t>
  </si>
  <si>
    <t>01/05/2024</t>
  </si>
  <si>
    <t>01/07/2024</t>
  </si>
  <si>
    <t>06/18/2024</t>
  </si>
  <si>
    <t>06/20/2024</t>
  </si>
  <si>
    <t>05/07/2023</t>
  </si>
  <si>
    <t>05/12/2023</t>
  </si>
  <si>
    <t>04/20/2021</t>
  </si>
  <si>
    <t>12/09/2021</t>
  </si>
  <si>
    <t>12/10/2021</t>
  </si>
  <si>
    <t>11/13/2023</t>
  </si>
  <si>
    <t>11/14/2023</t>
  </si>
  <si>
    <t>06/23/2022</t>
  </si>
  <si>
    <t>06/26/2022</t>
  </si>
  <si>
    <t>05/02/2021</t>
  </si>
  <si>
    <t>05/07/2021</t>
  </si>
  <si>
    <t>09/17/2021</t>
  </si>
  <si>
    <t>09/23/2021</t>
  </si>
  <si>
    <t>04/06/2023</t>
  </si>
  <si>
    <t>04/11/2023</t>
  </si>
  <si>
    <t>05/30/2023</t>
  </si>
  <si>
    <t>06/06/2023</t>
  </si>
  <si>
    <t>09/12/2021</t>
  </si>
  <si>
    <t>09/19/2021</t>
  </si>
  <si>
    <t>06/18/2021</t>
  </si>
  <si>
    <t>06/21/2021</t>
  </si>
  <si>
    <t>04/30/2024</t>
  </si>
  <si>
    <t>05/02/2024</t>
  </si>
  <si>
    <t>07/29/2021</t>
  </si>
  <si>
    <t>07/30/2021</t>
  </si>
  <si>
    <t>11/07/2021</t>
  </si>
  <si>
    <t>11/11/2021</t>
  </si>
  <si>
    <t>07/22/2022</t>
  </si>
  <si>
    <t>07/28/2022</t>
  </si>
  <si>
    <t>03/03/2023</t>
  </si>
  <si>
    <t>05/30/2021</t>
  </si>
  <si>
    <t>05/31/2021</t>
  </si>
  <si>
    <t>06/24/2021</t>
  </si>
  <si>
    <t>05/16/2022</t>
  </si>
  <si>
    <t>05/17/2022</t>
  </si>
  <si>
    <t>ET-2023-100200</t>
  </si>
  <si>
    <t>11/26/2023</t>
  </si>
  <si>
    <t>12/03/2023</t>
  </si>
  <si>
    <t>07/22/2023</t>
  </si>
  <si>
    <t>07/27/2023</t>
  </si>
  <si>
    <t>04/05/2021</t>
  </si>
  <si>
    <t>04/09/2021</t>
  </si>
  <si>
    <t>06/09/2021</t>
  </si>
  <si>
    <t>01/28/2023</t>
  </si>
  <si>
    <t>01/14/2021</t>
  </si>
  <si>
    <t>01/18/2021</t>
  </si>
  <si>
    <t>10/05/2023</t>
  </si>
  <si>
    <t>10/06/2023</t>
  </si>
  <si>
    <t>07/29/2024</t>
  </si>
  <si>
    <t>08/05/2024</t>
  </si>
  <si>
    <t>06/02/2021</t>
  </si>
  <si>
    <t>06/04/2021</t>
  </si>
  <si>
    <t>09/24/2022</t>
  </si>
  <si>
    <t>09/28/2022</t>
  </si>
  <si>
    <t>11/19/2023</t>
  </si>
  <si>
    <t>ET-2021-100211</t>
  </si>
  <si>
    <t>01/25/2021</t>
  </si>
  <si>
    <t>01/26/2021</t>
  </si>
  <si>
    <t>12/26/2022</t>
  </si>
  <si>
    <t>12/28/2022</t>
  </si>
  <si>
    <t>05/05/2021</t>
  </si>
  <si>
    <t>05/06/2021</t>
  </si>
  <si>
    <t>10/26/2023</t>
  </si>
  <si>
    <t>05/29/2022</t>
  </si>
  <si>
    <t>01/05/2023</t>
  </si>
  <si>
    <t>01/10/2023</t>
  </si>
  <si>
    <t>05/17/2024</t>
  </si>
  <si>
    <t>05/19/2024</t>
  </si>
  <si>
    <t>12/14/2023</t>
  </si>
  <si>
    <t>12/21/2023</t>
  </si>
  <si>
    <t>08/22/2024</t>
  </si>
  <si>
    <t>08/25/2024</t>
  </si>
  <si>
    <t>03/13/2023</t>
  </si>
  <si>
    <t>03/20/2023</t>
  </si>
  <si>
    <t>12/12/2022</t>
  </si>
  <si>
    <t>12/15/2022</t>
  </si>
  <si>
    <t>01/03/2021</t>
  </si>
  <si>
    <t>01/04/2021</t>
  </si>
  <si>
    <t>07/15/2023</t>
  </si>
  <si>
    <t>11/24/2022</t>
  </si>
  <si>
    <t>11/29/2022</t>
  </si>
  <si>
    <t>11/28/2024</t>
  </si>
  <si>
    <t>12/03/2024</t>
  </si>
  <si>
    <t>06/29/2021</t>
  </si>
  <si>
    <t>07/02/2021</t>
  </si>
  <si>
    <t>08/27/2023</t>
  </si>
  <si>
    <t>03/01/2024</t>
  </si>
  <si>
    <t>03/02/2024</t>
  </si>
  <si>
    <t>03/18/2024</t>
  </si>
  <si>
    <t>03/20/2024</t>
  </si>
  <si>
    <t>01/30/2022</t>
  </si>
  <si>
    <t>07/20/2022</t>
  </si>
  <si>
    <t>07/25/2022</t>
  </si>
  <si>
    <t>01/02/2024</t>
  </si>
  <si>
    <t>03/21/2021</t>
  </si>
  <si>
    <t>03/25/2021</t>
  </si>
  <si>
    <t>10/03/2021</t>
  </si>
  <si>
    <t>10/06/2021</t>
  </si>
  <si>
    <t>05/01/2021</t>
  </si>
  <si>
    <t>05/26/2022</t>
  </si>
  <si>
    <t>07/03/2023</t>
  </si>
  <si>
    <t>08/20/2024</t>
  </si>
  <si>
    <t>12/23/2024</t>
  </si>
  <si>
    <t>12/29/2024</t>
  </si>
  <si>
    <t>05/13/2024</t>
  </si>
  <si>
    <t>02/26/2024</t>
  </si>
  <si>
    <t>08/08/2023</t>
  </si>
  <si>
    <t>02/15/2022</t>
  </si>
  <si>
    <t>02/18/2022</t>
  </si>
  <si>
    <t>12/12/2021</t>
  </si>
  <si>
    <t>01/29/2021</t>
  </si>
  <si>
    <t>02/01/2021</t>
  </si>
  <si>
    <t>05/14/2021</t>
  </si>
  <si>
    <t>05/21/2021</t>
  </si>
  <si>
    <t>04/13/2022</t>
  </si>
  <si>
    <t>04/15/2022</t>
  </si>
  <si>
    <t>04/15/2021</t>
  </si>
  <si>
    <t>11/05/2024</t>
  </si>
  <si>
    <t>11/11/2024</t>
  </si>
  <si>
    <t>08/02/2022</t>
  </si>
  <si>
    <t>08/03/2022</t>
  </si>
  <si>
    <t>08/30/2022</t>
  </si>
  <si>
    <t>09/02/2022</t>
  </si>
  <si>
    <t>11/05/2022</t>
  </si>
  <si>
    <t>11/13/2024</t>
  </si>
  <si>
    <t>11/20/2024</t>
  </si>
  <si>
    <t>03/01/2021</t>
  </si>
  <si>
    <t>03/08/2021</t>
  </si>
  <si>
    <t>10/20/2024</t>
  </si>
  <si>
    <t>10/25/2024</t>
  </si>
  <si>
    <t>08/06/2024</t>
  </si>
  <si>
    <t>08/31/2024</t>
  </si>
  <si>
    <t>09/01/2024</t>
  </si>
  <si>
    <t>04/02/2022</t>
  </si>
  <si>
    <t>02/01/2024</t>
  </si>
  <si>
    <t>07/26/2023</t>
  </si>
  <si>
    <t>08/02/2023</t>
  </si>
  <si>
    <t>01/09/2021</t>
  </si>
  <si>
    <t>10/30/2023</t>
  </si>
  <si>
    <t>09/05/2022</t>
  </si>
  <si>
    <t>01/23/2024</t>
  </si>
  <si>
    <t>02/22/2023</t>
  </si>
  <si>
    <t>07/17/2023</t>
  </si>
  <si>
    <t>01/20/2022</t>
  </si>
  <si>
    <t>03/23/2021</t>
  </si>
  <si>
    <t>01/18/2024</t>
  </si>
  <si>
    <t>10/04/2024</t>
  </si>
  <si>
    <t>11/08/2023</t>
  </si>
  <si>
    <t>11/12/2023</t>
  </si>
  <si>
    <t>05/19/2023</t>
  </si>
  <si>
    <t>05/26/2023</t>
  </si>
  <si>
    <t>02/17/2024</t>
  </si>
  <si>
    <t>02/18/2024</t>
  </si>
  <si>
    <t>06/21/2024</t>
  </si>
  <si>
    <t>03/21/2023</t>
  </si>
  <si>
    <t>03/28/2023</t>
  </si>
  <si>
    <t>02/13/2024</t>
  </si>
  <si>
    <t>01/12/2022</t>
  </si>
  <si>
    <t>01/14/2022</t>
  </si>
  <si>
    <t>04/04/2024</t>
  </si>
  <si>
    <t>04/08/2024</t>
  </si>
  <si>
    <t>11/14/2021</t>
  </si>
  <si>
    <t>11/15/2022</t>
  </si>
  <si>
    <t>02/08/2021</t>
  </si>
  <si>
    <t>02/15/2021</t>
  </si>
  <si>
    <t>10/02/2021</t>
  </si>
  <si>
    <t>03/29/2021</t>
  </si>
  <si>
    <t>11/28/2023</t>
  </si>
  <si>
    <t>03/10/2022</t>
  </si>
  <si>
    <t>03/12/2022</t>
  </si>
  <si>
    <t>02/17/2021</t>
  </si>
  <si>
    <t>02/29/2024</t>
  </si>
  <si>
    <t>01/08/2022</t>
  </si>
  <si>
    <t>01/13/2022</t>
  </si>
  <si>
    <t>02/19/2022</t>
  </si>
  <si>
    <t>01/10/2024</t>
  </si>
  <si>
    <t>03/26/2024</t>
  </si>
  <si>
    <t>12/01/2023</t>
  </si>
  <si>
    <t>12/02/2023</t>
  </si>
  <si>
    <t>07/19/2022</t>
  </si>
  <si>
    <t>10/10/2021</t>
  </si>
  <si>
    <t>10/17/2021</t>
  </si>
  <si>
    <t>04/17/2021</t>
  </si>
  <si>
    <t>03/19/2021</t>
  </si>
  <si>
    <t>03/10/2021</t>
  </si>
  <si>
    <t>03/17/2021</t>
  </si>
  <si>
    <t>10/03/2024</t>
  </si>
  <si>
    <t>10/07/2024</t>
  </si>
  <si>
    <t>CS-2023-100306</t>
  </si>
  <si>
    <t>06/26/2023</t>
  </si>
  <si>
    <t>10/13/2022</t>
  </si>
  <si>
    <t>10/08/2022</t>
  </si>
  <si>
    <t>12/31/2022</t>
  </si>
  <si>
    <t>01/02/2023</t>
  </si>
  <si>
    <t>07/17/2022</t>
  </si>
  <si>
    <t>07/21/2022</t>
  </si>
  <si>
    <t>01/29/2024</t>
  </si>
  <si>
    <t>09/26/2021</t>
  </si>
  <si>
    <t>10/01/2021</t>
  </si>
  <si>
    <t>05/14/2023</t>
  </si>
  <si>
    <t>06/05/2022</t>
  </si>
  <si>
    <t>05/25/2024</t>
  </si>
  <si>
    <t>05/27/2024</t>
  </si>
  <si>
    <t>07/17/2024</t>
  </si>
  <si>
    <t>07/19/2024</t>
  </si>
  <si>
    <t>07/07/2022</t>
  </si>
  <si>
    <t>04/26/2022</t>
  </si>
  <si>
    <t>05/02/2022</t>
  </si>
  <si>
    <t>06/22/2022</t>
  </si>
  <si>
    <t>06/27/2022</t>
  </si>
  <si>
    <t>09/20/2024</t>
  </si>
  <si>
    <t>09/23/2024</t>
  </si>
  <si>
    <t>12/30/2023</t>
  </si>
  <si>
    <t>08/15/2022</t>
  </si>
  <si>
    <t>02/27/2024</t>
  </si>
  <si>
    <t>04/26/2023</t>
  </si>
  <si>
    <t>04/28/2023</t>
  </si>
  <si>
    <t>01/27/2021</t>
  </si>
  <si>
    <t>03/08/2023</t>
  </si>
  <si>
    <t>03/14/2023</t>
  </si>
  <si>
    <t>08/20/2021</t>
  </si>
  <si>
    <t>08/08/2021</t>
  </si>
  <si>
    <t>08/10/2021</t>
  </si>
  <si>
    <t>12/22/2024</t>
  </si>
  <si>
    <t>12/26/2023</t>
  </si>
  <si>
    <t>05/16/2021</t>
  </si>
  <si>
    <t>10/01/2023</t>
  </si>
  <si>
    <t>01/15/2023</t>
  </si>
  <si>
    <t>07/27/2021</t>
  </si>
  <si>
    <t>08/02/2021</t>
  </si>
  <si>
    <t>09/24/2024</t>
  </si>
  <si>
    <t>09/28/2024</t>
  </si>
  <si>
    <t>04/25/2023</t>
  </si>
  <si>
    <t>05/02/2023</t>
  </si>
  <si>
    <t>03/12/2021</t>
  </si>
  <si>
    <t>07/08/2021</t>
  </si>
  <si>
    <t>06/17/2021</t>
  </si>
  <si>
    <t>01/11/2024</t>
  </si>
  <si>
    <t>09/28/2021</t>
  </si>
  <si>
    <t>03/27/2023</t>
  </si>
  <si>
    <t>10/19/2022</t>
  </si>
  <si>
    <t>10/22/2022</t>
  </si>
  <si>
    <t>11/04/2024</t>
  </si>
  <si>
    <t>11/07/2024</t>
  </si>
  <si>
    <t>03/31/2021</t>
  </si>
  <si>
    <t>04/03/2021</t>
  </si>
  <si>
    <t>01/08/2023</t>
  </si>
  <si>
    <t>05/13/2021</t>
  </si>
  <si>
    <t>05/05/2023</t>
  </si>
  <si>
    <t>09/25/2022</t>
  </si>
  <si>
    <t>03/02/2021</t>
  </si>
  <si>
    <t>03/09/2021</t>
  </si>
  <si>
    <t>03/07/2024</t>
  </si>
  <si>
    <t>10/09/2021</t>
  </si>
  <si>
    <t>10/11/2021</t>
  </si>
  <si>
    <t>11/12/2024</t>
  </si>
  <si>
    <t>08/12/2021</t>
  </si>
  <si>
    <t>08/16/2021</t>
  </si>
  <si>
    <t>08/20/2022</t>
  </si>
  <si>
    <t>08/24/2022</t>
  </si>
  <si>
    <t>04/13/2024</t>
  </si>
  <si>
    <t>04/19/2024</t>
  </si>
  <si>
    <t>01/04/2025</t>
  </si>
  <si>
    <t>11/18/2022</t>
  </si>
  <si>
    <t>11/23/2022</t>
  </si>
  <si>
    <t>09/27/2021</t>
  </si>
  <si>
    <t>09/29/2021</t>
  </si>
  <si>
    <t>04/20/2023</t>
  </si>
  <si>
    <t>04/24/2023</t>
  </si>
  <si>
    <t>10/25/2021</t>
  </si>
  <si>
    <t>05/03/2024</t>
  </si>
  <si>
    <t>05/08/2024</t>
  </si>
  <si>
    <t>08/23/2022</t>
  </si>
  <si>
    <t>08/27/2022</t>
  </si>
  <si>
    <t>10/13/2023</t>
  </si>
  <si>
    <t>04/04/2021</t>
  </si>
  <si>
    <t>11/08/2024</t>
  </si>
  <si>
    <t>05/18/2021</t>
  </si>
  <si>
    <t>03/06/2021</t>
  </si>
  <si>
    <t>03/16/2021</t>
  </si>
  <si>
    <t>03/20/2021</t>
  </si>
  <si>
    <t>10/02/2022</t>
  </si>
  <si>
    <t>10/03/2022</t>
  </si>
  <si>
    <t>08/23/2021</t>
  </si>
  <si>
    <t>06/09/2024</t>
  </si>
  <si>
    <t>06/12/2024</t>
  </si>
  <si>
    <t>08/12/2023</t>
  </si>
  <si>
    <t>08/16/2023</t>
  </si>
  <si>
    <t>03/14/2024</t>
  </si>
  <si>
    <t>09/27/2022</t>
  </si>
  <si>
    <t>06/14/2024</t>
  </si>
  <si>
    <t>06/19/2024</t>
  </si>
  <si>
    <t>01/30/2024</t>
  </si>
  <si>
    <t>01/31/2024</t>
  </si>
  <si>
    <t>03/09/2022</t>
  </si>
  <si>
    <t>03/15/2022</t>
  </si>
  <si>
    <t>09/24/2023</t>
  </si>
  <si>
    <t>09/30/2023</t>
  </si>
  <si>
    <t>12/29/2022</t>
  </si>
  <si>
    <t>08/25/2021</t>
  </si>
  <si>
    <t>09/20/2023</t>
  </si>
  <si>
    <t>09/21/2023</t>
  </si>
  <si>
    <t>02/04/2023</t>
  </si>
  <si>
    <t>06/21/2023</t>
  </si>
  <si>
    <t>06/27/2023</t>
  </si>
  <si>
    <t>04/24/2022</t>
  </si>
  <si>
    <t>04/28/2022</t>
  </si>
  <si>
    <t>12/25/2023</t>
  </si>
  <si>
    <t>12/31/2023</t>
  </si>
  <si>
    <t>05/11/2022</t>
  </si>
  <si>
    <t>06/26/2021</t>
  </si>
  <si>
    <t>10/25/2022</t>
  </si>
  <si>
    <t>10/28/2022</t>
  </si>
  <si>
    <t>06/03/2024</t>
  </si>
  <si>
    <t>06/07/2024</t>
  </si>
  <si>
    <t>03/16/2024</t>
  </si>
  <si>
    <t>01/13/2021</t>
  </si>
  <si>
    <t>10/28/2024</t>
  </si>
  <si>
    <t>10/31/2024</t>
  </si>
  <si>
    <t>01/13/2024</t>
  </si>
  <si>
    <t>01/19/2024</t>
  </si>
  <si>
    <t>04/03/2024</t>
  </si>
  <si>
    <t>07/19/2021</t>
  </si>
  <si>
    <t>07/23/2021</t>
  </si>
  <si>
    <t>04/04/2023</t>
  </si>
  <si>
    <t>04/07/2023</t>
  </si>
  <si>
    <t>11/27/2024</t>
  </si>
  <si>
    <t>11/30/2024</t>
  </si>
  <si>
    <t>01/15/2021</t>
  </si>
  <si>
    <t>01/17/2021</t>
  </si>
  <si>
    <t>11/17/2024</t>
  </si>
  <si>
    <t>11/18/2024</t>
  </si>
  <si>
    <t>08/13/2024</t>
  </si>
  <si>
    <t>08/16/2024</t>
  </si>
  <si>
    <t>05/26/2021</t>
  </si>
  <si>
    <t>05/28/2021</t>
  </si>
  <si>
    <t>03/28/2022</t>
  </si>
  <si>
    <t>03/29/2022</t>
  </si>
  <si>
    <t>06/06/2024</t>
  </si>
  <si>
    <t>06/08/2024</t>
  </si>
  <si>
    <t>ET-2021-100427</t>
  </si>
  <si>
    <t>07/20/2021</t>
  </si>
  <si>
    <t>07/24/2021</t>
  </si>
  <si>
    <t>12/11/2024</t>
  </si>
  <si>
    <t>12/15/2024</t>
  </si>
  <si>
    <t>06/22/2024</t>
  </si>
  <si>
    <t>08/22/2022</t>
  </si>
  <si>
    <t>08/26/2022</t>
  </si>
  <si>
    <t>02/13/2021</t>
  </si>
  <si>
    <t>02/16/2021</t>
  </si>
  <si>
    <t>07/30/2023</t>
  </si>
  <si>
    <t>01/15/2022</t>
  </si>
  <si>
    <t>03/24/2021</t>
  </si>
  <si>
    <t>03/26/2021</t>
  </si>
  <si>
    <t>07/24/2022</t>
  </si>
  <si>
    <t>01/14/2023</t>
  </si>
  <si>
    <t>06/29/2023</t>
  </si>
  <si>
    <t>02/09/2024</t>
  </si>
  <si>
    <t>09/07/2022</t>
  </si>
  <si>
    <t>08/03/2023</t>
  </si>
  <si>
    <t>05/18/2024</t>
  </si>
  <si>
    <t>02/05/2021</t>
  </si>
  <si>
    <t>02/09/2021</t>
  </si>
  <si>
    <t>09/21/2021</t>
  </si>
  <si>
    <t>02/07/2022</t>
  </si>
  <si>
    <t>02/08/2022</t>
  </si>
  <si>
    <t>02/14/2022</t>
  </si>
  <si>
    <t>02/16/2022</t>
  </si>
  <si>
    <t>02/03/2021</t>
  </si>
  <si>
    <t>01/01/2023</t>
  </si>
  <si>
    <t>10/22/2024</t>
  </si>
  <si>
    <t>07/28/2021</t>
  </si>
  <si>
    <t>08/03/2021</t>
  </si>
  <si>
    <t>01/04/2023</t>
  </si>
  <si>
    <t>CS-2021-100460</t>
  </si>
  <si>
    <t>03/03/2021</t>
  </si>
  <si>
    <t>Linda Gonzalez</t>
  </si>
  <si>
    <t>09/15/2024</t>
  </si>
  <si>
    <t>09/22/2024</t>
  </si>
  <si>
    <t>08/13/2021</t>
  </si>
  <si>
    <t>08/18/2021</t>
  </si>
  <si>
    <t>12/21/2022</t>
  </si>
  <si>
    <t>12/22/2022</t>
  </si>
  <si>
    <t>WT-2024-100466</t>
  </si>
  <si>
    <t>2024-09-09</t>
  </si>
  <si>
    <t>11/21/2024</t>
  </si>
  <si>
    <t>09/06/2022</t>
  </si>
  <si>
    <t>10/31/2023</t>
  </si>
  <si>
    <t>11/07/2023</t>
  </si>
  <si>
    <t>03/27/2024</t>
  </si>
  <si>
    <t>03/31/2024</t>
  </si>
  <si>
    <t>06/11/2023</t>
  </si>
  <si>
    <t>06/15/2023</t>
  </si>
  <si>
    <t>11/04/2021</t>
  </si>
  <si>
    <t>11/06/2021</t>
  </si>
  <si>
    <t>02/02/2024</t>
  </si>
  <si>
    <t>10/15/2021</t>
  </si>
  <si>
    <t>05/17/2023</t>
  </si>
  <si>
    <t>09/25/2024</t>
  </si>
  <si>
    <t>09/09/2022</t>
  </si>
  <si>
    <t>09/10/2022</t>
  </si>
  <si>
    <t>05/03/2023</t>
  </si>
  <si>
    <t>08/08/2024</t>
  </si>
  <si>
    <t>09/24/2021</t>
  </si>
  <si>
    <t>03/17/2023</t>
  </si>
  <si>
    <t>2023-04-02</t>
  </si>
  <si>
    <t>01/09/2022</t>
  </si>
  <si>
    <t>11/24/2024</t>
  </si>
  <si>
    <t>05/26/2024</t>
  </si>
  <si>
    <t>06/01/2024</t>
  </si>
  <si>
    <t>12/14/2021</t>
  </si>
  <si>
    <t>12/19/2021</t>
  </si>
  <si>
    <t>07/30/2022</t>
  </si>
  <si>
    <t>02/20/2024</t>
  </si>
  <si>
    <t>08/26/2021</t>
  </si>
  <si>
    <t>08/30/2021</t>
  </si>
  <si>
    <t>02/28/2024</t>
  </si>
  <si>
    <t>03/05/2024</t>
  </si>
  <si>
    <t>02/05/2023</t>
  </si>
  <si>
    <t>02/10/2023</t>
  </si>
  <si>
    <t>03/11/2024</t>
  </si>
  <si>
    <t>07/15/2024</t>
  </si>
  <si>
    <t>11/03/2021</t>
  </si>
  <si>
    <t>07/17/2021</t>
  </si>
  <si>
    <t>05/09/2023</t>
  </si>
  <si>
    <t>08/06/2021</t>
  </si>
  <si>
    <t>06/12/2023</t>
  </si>
  <si>
    <t>06/19/2023</t>
  </si>
  <si>
    <t>08/24/2023</t>
  </si>
  <si>
    <t>09/26/2023</t>
  </si>
  <si>
    <t>08/28/2021</t>
  </si>
  <si>
    <t>09/01/2021</t>
  </si>
  <si>
    <t>04/24/2024</t>
  </si>
  <si>
    <t>06/19/2022</t>
  </si>
  <si>
    <t>03/27/2021</t>
  </si>
  <si>
    <t>04/01/2021</t>
  </si>
  <si>
    <t>01/09/2023</t>
  </si>
  <si>
    <t>2023-11-26</t>
  </si>
  <si>
    <t>11/27/2023</t>
  </si>
  <si>
    <t>11/29/2024</t>
  </si>
  <si>
    <t>12/02/2024</t>
  </si>
  <si>
    <t>03/14/2022</t>
  </si>
  <si>
    <t>05/03/2021</t>
  </si>
  <si>
    <t>09/08/2022</t>
  </si>
  <si>
    <t>04/02/2023</t>
  </si>
  <si>
    <t>2022-10-09</t>
  </si>
  <si>
    <t>Sales Performance Analysis</t>
  </si>
  <si>
    <t>Helper: Unique Product Totals (used by Top-5 formulas — do not delete)</t>
  </si>
  <si>
    <t>Source: Sales_Data sheet (cleaned) | All figures update automatically via formulas</t>
  </si>
  <si>
    <t>Total Sales</t>
  </si>
  <si>
    <t>Task 2 — Key Metrics</t>
  </si>
  <si>
    <t>Total Profit</t>
  </si>
  <si>
    <t>Average Sales</t>
  </si>
  <si>
    <t>Highest Sales Value</t>
  </si>
  <si>
    <t>Total Number of Orders</t>
  </si>
  <si>
    <t>Total Sales by Region (Pivot)</t>
  </si>
  <si>
    <t>Total Sales by Category (Pivot)</t>
  </si>
  <si>
    <t>Profit by Region (Pivot)</t>
  </si>
  <si>
    <t>Profit by Category (Pivot)</t>
  </si>
  <si>
    <t>Top 5 Products by Sales (Pivot)</t>
  </si>
  <si>
    <t>Sales Trend by Month (Pivot)</t>
  </si>
  <si>
    <t>Month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</si>
  <si>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</si>
  <si>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</si>
  <si>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</si>
  <si>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</si>
  <si>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</si>
  <si>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</si>
  <si>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</si>
  <si>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</si>
  <si>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</si>
  <si>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</si>
  <si>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</si>
  <si>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</si>
  <si>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</si>
  <si>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</si>
  <si>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</si>
  <si>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</si>
  <si>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</si>
  <si>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</si>
  <si>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</si>
  <si>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</si>
  <si>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</si>
  <si>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</si>
  <si>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</si>
  <si>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</si>
  <si>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</si>
  <si>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</si>
  <si>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</si>
  <si>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</si>
  <si>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</si>
  <si>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</si>
  <si>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</si>
  <si>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</si>
  <si>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</si>
  <si>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</si>
  <si>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</si>
  <si>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</si>
  <si>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</si>
  <si>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</si>
  <si>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</si>
  <si>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</si>
  <si>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</si>
  <si>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</si>
  <si>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</si>
  <si>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</si>
  <si>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</si>
  <si>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</si>
  <si>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</si>
  <si>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</si>
  <si>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Superstore Sales — Mini Dashboard</t>
  </si>
  <si>
    <t>All figures are live formulas linked to Sales_Data. Use the Region filter below to explore.</t>
  </si>
  <si>
    <t>Region Filter (Slicer)</t>
  </si>
  <si>
    <t>All</t>
  </si>
  <si>
    <t>Insight Questions &amp; Answers</t>
  </si>
  <si>
    <t>Q</t>
  </si>
  <si>
    <t>Question</t>
  </si>
  <si>
    <t>Answer (live formula)</t>
  </si>
  <si>
    <t>Which region has the highest sales?</t>
  </si>
  <si>
    <t>Which category generates the most profit?</t>
  </si>
  <si>
    <t>Which month has the highest sales?</t>
  </si>
  <si>
    <t>Which category is underperforming (lowest profit)?</t>
  </si>
  <si>
    <t>Note: answers are formula-driven (INDEX/MATCH against the pivot tables in 'Analysis') so they update automatically if Sales_Data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</si>
</sst>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\$#,##0.00"/>
    <numFmt numFmtId="166" formatCode="\$#,##0.0000"/>
  </numFmts>
  <fonts count="1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i/>
      <sz val="9"/>
      <color rgb="FF375623"/>
      <name val="Arial"/>
      <charset val="1"/>
    </font>
    <font>
      <sz val="10"/>
      <name val="Arial"/>
      <charset val="1"/>
    </font>
    <font>
      <i/>
      <sz val="9"/>
      <color rgb="FFC00000"/>
      <name val="Arial"/>
      <charset val="1"/>
    </font>
    <font>
      <b/>
      <sz val="16"/>
      <color rgb="FF1F3864"/>
      <name val="Arial"/>
      <charset val="1"/>
    </font>
    <font>
      <i/>
      <sz val="8"/>
      <color rgb="FF999999"/>
      <name val="Arial"/>
      <charset val="1"/>
    </font>
    <font>
      <i/>
      <sz val="10"/>
      <color rgb="FF666666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8"/>
      <color rgb="FF1F3864"/>
      <name val="Arial"/>
      <charset val="1"/>
    </font>
    <font>
      <b/>
      <sz val="22"/>
      <color rgb="FF1F3864"/>
      <name val="Arial"/>
      <charset val="1"/>
    </font>
    <font>
      <b/>
      <sz val="22"/>
      <color rgb="FF375623"/>
      <name val="Arial"/>
      <charset val="1"/>
    </font>
    <font>
      <b/>
      <sz val="14"/>
      <color rgb="FF833C0C"/>
      <name val="Arial"/>
      <charset val="1"/>
    </font>
    <font>
      <sz val="10"/>
      <name val="Arial"/>
      <family val="2"/>
    </font>
    <font>
      <b/>
      <sz val="11"/>
      <color rgb="FF1F3864"/>
      <name val="Arial"/>
      <charset val="1"/>
    </font>
    <font>
      <i/>
      <sz val="9"/>
      <color rgb="FF666666"/>
      <name val="Arial"/>
      <charset val="1"/>
    </font>
    <font>
      <b/>
      <sz val="16"/>
      <color rgb="FF1F386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2E5395"/>
        <bgColor rgb="FF1F3864"/>
      </patternFill>
    </fill>
    <fill>
      <patternFill patternType="solid">
        <fgColor rgb="FFDCE6F1"/>
        <bgColor rgb="FFE2EFDA"/>
      </patternFill>
    </fill>
    <fill>
      <patternFill patternType="solid">
        <fgColor rgb="FF375623"/>
        <bgColor rgb="FF333300"/>
      </patternFill>
    </fill>
    <fill>
      <patternFill patternType="solid">
        <fgColor rgb="FF833C0C"/>
        <bgColor rgb="FF993366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E2EFD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1" xfId="0" applyFont="1" applyBorder="1"/>
    <xf numFmtId="164" fontId="3" fillId="0" borderId="1" xfId="0" applyNumberFormat="1" applyFont="1" applyBorder="1"/>
    <xf numFmtId="9" fontId="3" fillId="0" borderId="1" xfId="0" applyNumberFormat="1" applyFont="1" applyBorder="1"/>
    <xf numFmtId="165" fontId="3" fillId="0" borderId="1" xfId="0" applyNumberFormat="1" applyFont="1" applyBorder="1"/>
    <xf numFmtId="0" fontId="4" fillId="0" borderId="0" xfId="0" applyFont="1" applyAlignment="1">
      <alignment vertical="top" wrapText="1"/>
    </xf>
    <xf numFmtId="0" fontId="6" fillId="0" borderId="0" xfId="0" applyFont="1"/>
    <xf numFmtId="0" fontId="1" fillId="2" borderId="0" xfId="0" applyFont="1" applyFill="1"/>
    <xf numFmtId="0" fontId="3" fillId="0" borderId="0" xfId="0" applyFont="1"/>
    <xf numFmtId="166" fontId="0" fillId="0" borderId="0" xfId="0" applyNumberFormat="1"/>
    <xf numFmtId="0" fontId="9" fillId="3" borderId="1" xfId="0" applyFont="1" applyFill="1" applyBorder="1" applyAlignment="1">
      <alignment horizontal="center" vertical="center" wrapText="1"/>
    </xf>
    <xf numFmtId="165" fontId="10" fillId="4" borderId="1" xfId="0" applyNumberFormat="1" applyFont="1" applyFill="1" applyBorder="1" applyAlignment="1">
      <alignment horizontal="center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6" fillId="0" borderId="0" xfId="0" applyFont="1" applyAlignment="1">
      <alignment wrapText="1"/>
    </xf>
    <xf numFmtId="0" fontId="8" fillId="3" borderId="0" xfId="0" applyFont="1" applyFill="1"/>
    <xf numFmtId="0" fontId="5" fillId="0" borderId="0" xfId="0" applyFont="1"/>
    <xf numFmtId="0" fontId="7" fillId="0" borderId="0" xfId="0" applyFont="1"/>
    <xf numFmtId="0" fontId="8" fillId="3" borderId="0" xfId="0" applyFont="1" applyFill="1" applyAlignment="1">
      <alignment horizontal="center" vertical="center" wrapText="1"/>
    </xf>
    <xf numFmtId="165" fontId="11" fillId="4" borderId="0" xfId="0" applyNumberFormat="1" applyFont="1" applyFill="1" applyAlignment="1">
      <alignment horizontal="center" vertical="center" wrapText="1"/>
    </xf>
    <xf numFmtId="165" fontId="12" fillId="7" borderId="0" xfId="0" applyNumberFormat="1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165" fontId="13" fillId="8" borderId="0" xfId="0" applyNumberFormat="1" applyFont="1" applyFill="1" applyAlignment="1">
      <alignment horizontal="center" vertical="center" wrapText="1"/>
    </xf>
    <xf numFmtId="0" fontId="17" fillId="0" borderId="0" xfId="0" applyFont="1"/>
    <xf numFmtId="0" fontId="9" fillId="3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7CE"/>
      <rgbColor rgb="FF4A7EBB"/>
      <rgbColor rgb="FF33CCCC"/>
      <rgbColor rgb="FF9BBB59"/>
      <rgbColor rgb="FFFFCC00"/>
      <rgbColor rgb="FFFF9900"/>
      <rgbColor rgb="FFFF6600"/>
      <rgbColor rgb="FF666666"/>
      <rgbColor rgb="FF999999"/>
      <rgbColor rgb="FF1F3864"/>
      <rgbColor rgb="FF4F81BD"/>
      <rgbColor rgb="FF003300"/>
      <rgbColor rgb="FF333300"/>
      <rgbColor rgb="FF833C0C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Analysis!$B$10</c:f>
              <c:strCache>
                <c:ptCount val="1"/>
                <c:pt idx="0">
                  <c:v>Total Sales</c:v>
                </c:pt>
              </c:strCache>
            </c:strRef>
          </c:tx>
          <c:spPr>
            <a:gradFill>
              <a:gsLst>
                <a:gs pos="0">
                  <a:schemeClr val="accent4">
                    <a:shade val="51000"/>
                  </a:schemeClr>
                </a:gs>
                <a:gs pos="80000">
                  <a:schemeClr val="accent4">
                    <a:shade val="93000"/>
                  </a:schemeClr>
                </a:gs>
                <a:gs pos="100000">
                  <a:schemeClr val="accent4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Analysis!$A$11:$A$14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Analysis!$B$11:$B$14</c:f>
              <c:numCache>
                <c:formatCode>\$#,##0.00</c:formatCode>
                <c:ptCount val="4"/>
                <c:pt idx="0">
                  <c:v>153164.02000000005</c:v>
                </c:pt>
                <c:pt idx="1">
                  <c:v>167089.08000000005</c:v>
                </c:pt>
                <c:pt idx="2">
                  <c:v>135430.22999999995</c:v>
                </c:pt>
                <c:pt idx="3">
                  <c:v>186540.71000000011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E-4C66-AF78-40AFED83C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787011"/>
        <c:axId val="40381668"/>
      </c:barChart>
      <c:catAx>
        <c:axId val="127870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81668"/>
        <c:crosses val="autoZero"/>
        <c:auto val="1"/>
        <c:lblAlgn val="ctr"/>
        <c:lblOffset val="100"/>
        <c:noMultiLvlLbl val="0"/>
      </c:catAx>
      <c:valAx>
        <c:axId val="403816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70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Share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Analysis!$B$17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6">
                      <a:shade val="51000"/>
                    </a:schemeClr>
                  </a:gs>
                  <a:gs pos="80000">
                    <a:schemeClr val="accent6">
                      <a:shade val="93000"/>
                    </a:schemeClr>
                  </a:gs>
                  <a:gs pos="100000">
                    <a:schemeClr val="accent6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75-4F65-A912-B0A55C1E6F37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75-4F65-A912-B0A55C1E6F37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C75-4F65-A912-B0A55C1E6F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1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Analysis!$A$18:$A$20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Analysis!$B$18:$B$20</c:f>
              <c:numCache>
                <c:formatCode>\$#,##0.00</c:formatCode>
                <c:ptCount val="3"/>
                <c:pt idx="0">
                  <c:v>322178.59999999998</c:v>
                </c:pt>
                <c:pt idx="1">
                  <c:v>134855.31999999998</c:v>
                </c:pt>
                <c:pt idx="2">
                  <c:v>185190.12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75-4F65-A912-B0A55C1E6F3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Trend Over Time (Monthly)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Analysis!$B$44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Analysis!$A$45:$A$92</c:f>
              <c:strCache>
                <c:ptCount val="48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</c:strCache>
            </c:strRef>
          </c:cat>
          <c:val>
            <c:numRef>
              <c:f>Analysis!$B$45:$B$92</c:f>
              <c:numCache>
                <c:formatCode>\$#,##0.00</c:formatCode>
                <c:ptCount val="48"/>
                <c:pt idx="0">
                  <c:v>20239.62</c:v>
                </c:pt>
                <c:pt idx="1">
                  <c:v>5242.46</c:v>
                </c:pt>
                <c:pt idx="2">
                  <c:v>13498.729999999998</c:v>
                </c:pt>
                <c:pt idx="3">
                  <c:v>17688.09</c:v>
                </c:pt>
                <c:pt idx="4">
                  <c:v>20644.609999999997</c:v>
                </c:pt>
                <c:pt idx="5">
                  <c:v>21136.749999999996</c:v>
                </c:pt>
                <c:pt idx="6">
                  <c:v>11987.350000000002</c:v>
                </c:pt>
                <c:pt idx="7">
                  <c:v>19129.980000000003</c:v>
                </c:pt>
                <c:pt idx="8">
                  <c:v>11582</c:v>
                </c:pt>
                <c:pt idx="9">
                  <c:v>20693.28</c:v>
                </c:pt>
                <c:pt idx="10">
                  <c:v>10953.87</c:v>
                </c:pt>
                <c:pt idx="11">
                  <c:v>13011.449999999999</c:v>
                </c:pt>
                <c:pt idx="12">
                  <c:v>22683.21</c:v>
                </c:pt>
                <c:pt idx="13">
                  <c:v>10493.220000000001</c:v>
                </c:pt>
                <c:pt idx="14">
                  <c:v>2062.25</c:v>
                </c:pt>
                <c:pt idx="15">
                  <c:v>22777.45</c:v>
                </c:pt>
                <c:pt idx="16">
                  <c:v>2699.69</c:v>
                </c:pt>
                <c:pt idx="17">
                  <c:v>4411.1900000000005</c:v>
                </c:pt>
                <c:pt idx="18">
                  <c:v>7374.92</c:v>
                </c:pt>
                <c:pt idx="19">
                  <c:v>8165.9000000000015</c:v>
                </c:pt>
                <c:pt idx="20">
                  <c:v>25495.760000000002</c:v>
                </c:pt>
                <c:pt idx="21">
                  <c:v>13716.53</c:v>
                </c:pt>
                <c:pt idx="22">
                  <c:v>10827.920000000002</c:v>
                </c:pt>
                <c:pt idx="23">
                  <c:v>6481.97</c:v>
                </c:pt>
                <c:pt idx="24">
                  <c:v>9540.7900000000009</c:v>
                </c:pt>
                <c:pt idx="25">
                  <c:v>3881.1000000000004</c:v>
                </c:pt>
                <c:pt idx="26">
                  <c:v>11937.09</c:v>
                </c:pt>
                <c:pt idx="27">
                  <c:v>15428.95</c:v>
                </c:pt>
                <c:pt idx="28">
                  <c:v>9978.09</c:v>
                </c:pt>
                <c:pt idx="29">
                  <c:v>23713.83</c:v>
                </c:pt>
                <c:pt idx="30">
                  <c:v>17965.769999999997</c:v>
                </c:pt>
                <c:pt idx="31">
                  <c:v>11693.35</c:v>
                </c:pt>
                <c:pt idx="32">
                  <c:v>17116.580000000002</c:v>
                </c:pt>
                <c:pt idx="33">
                  <c:v>9639.91</c:v>
                </c:pt>
                <c:pt idx="34">
                  <c:v>7216.4100000000008</c:v>
                </c:pt>
                <c:pt idx="35">
                  <c:v>9783.8599999999988</c:v>
                </c:pt>
                <c:pt idx="36">
                  <c:v>14944.349999999999</c:v>
                </c:pt>
                <c:pt idx="37">
                  <c:v>18336.419999999998</c:v>
                </c:pt>
                <c:pt idx="38">
                  <c:v>12655.640000000001</c:v>
                </c:pt>
                <c:pt idx="39">
                  <c:v>10623.630000000001</c:v>
                </c:pt>
                <c:pt idx="40">
                  <c:v>11593.509999999998</c:v>
                </c:pt>
                <c:pt idx="41">
                  <c:v>15625.74</c:v>
                </c:pt>
                <c:pt idx="42">
                  <c:v>11154.929999999998</c:v>
                </c:pt>
                <c:pt idx="43">
                  <c:v>6945.99</c:v>
                </c:pt>
                <c:pt idx="44">
                  <c:v>19198.899999999998</c:v>
                </c:pt>
                <c:pt idx="45">
                  <c:v>13935.83</c:v>
                </c:pt>
                <c:pt idx="46">
                  <c:v>26252.570000000007</c:v>
                </c:pt>
                <c:pt idx="47">
                  <c:v>10062.6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92-4021-A1F3-45E79BE7F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38380375"/>
        <c:axId val="54313991"/>
      </c:lineChart>
      <c:catAx>
        <c:axId val="38380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13991"/>
        <c:crosses val="autoZero"/>
        <c:auto val="1"/>
        <c:lblAlgn val="ctr"/>
        <c:lblOffset val="100"/>
        <c:noMultiLvlLbl val="0"/>
      </c:catAx>
      <c:valAx>
        <c:axId val="54313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0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Analysis!$B$10</c:f>
              <c:strCache>
                <c:ptCount val="1"/>
                <c:pt idx="0">
                  <c:v>Total Sales</c:v>
                </c:pt>
              </c:strCache>
            </c:strRef>
          </c:tx>
          <c:spPr>
            <a:gradFill>
              <a:gsLst>
                <a:gs pos="0">
                  <a:schemeClr val="accent3">
                    <a:shade val="51000"/>
                  </a:schemeClr>
                </a:gs>
                <a:gs pos="80000">
                  <a:schemeClr val="accent3">
                    <a:shade val="93000"/>
                  </a:schemeClr>
                </a:gs>
                <a:gs pos="100000">
                  <a:schemeClr val="accent3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Analysis!$A$11:$A$14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Analysis!$B$11:$B$14</c:f>
              <c:numCache>
                <c:formatCode>\$#,##0.00</c:formatCode>
                <c:ptCount val="4"/>
                <c:pt idx="0">
                  <c:v>153164.02000000005</c:v>
                </c:pt>
                <c:pt idx="1">
                  <c:v>167089.08000000005</c:v>
                </c:pt>
                <c:pt idx="2">
                  <c:v>135430.22999999995</c:v>
                </c:pt>
                <c:pt idx="3">
                  <c:v>186540.71000000011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2-4303-864B-DA61882B8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7693799"/>
        <c:axId val="13232203"/>
      </c:barChart>
      <c:catAx>
        <c:axId val="97693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203"/>
        <c:crosses val="autoZero"/>
        <c:auto val="1"/>
        <c:lblAlgn val="ctr"/>
        <c:lblOffset val="100"/>
        <c:noMultiLvlLbl val="0"/>
      </c:catAx>
      <c:valAx>
        <c:axId val="132322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3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91440</xdr:colOff>
      <xdr:row>4</xdr:row>
      <xdr:rowOff>16740</xdr:rowOff>
    </xdr:from>
    <xdr:to>
      <xdr:col>16</xdr:col>
      <xdr:colOff>1080</xdr:colOff>
      <xdr:row>17</xdr:row>
      <xdr:rowOff>30720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60960</xdr:colOff>
      <xdr:row>21</xdr:row>
      <xdr:rowOff>41400</xdr:rowOff>
    </xdr:from>
    <xdr:to>
      <xdr:col>15</xdr:col>
      <xdr:colOff>564960</xdr:colOff>
      <xdr:row>36</xdr:row>
      <xdr:rowOff>3720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723900</xdr:colOff>
      <xdr:row>38</xdr:row>
      <xdr:rowOff>118920</xdr:rowOff>
    </xdr:from>
    <xdr:to>
      <xdr:col>21</xdr:col>
      <xdr:colOff>164100</xdr:colOff>
      <xdr:row>53</xdr:row>
      <xdr:rowOff>142200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6</xdr:row>
      <xdr:rowOff>62100</xdr:rowOff>
    </xdr:from>
    <xdr:to>
      <xdr:col>5</xdr:col>
      <xdr:colOff>768420</xdr:colOff>
      <xdr:row>23</xdr:row>
      <xdr:rowOff>63540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1"/>
  <sheetViews>
    <sheetView showGridLines="0" tabSelected="1" zoomScale="87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7" customWidth="1"/>
    <col min="3" max="4" width="12" customWidth="1"/>
    <col min="5" max="5" width="14" customWidth="1"/>
    <col min="6" max="6" width="18" customWidth="1"/>
    <col min="7" max="7" width="13" customWidth="1"/>
    <col min="8" max="8" width="10" customWidth="1"/>
    <col min="9" max="9" width="14" customWidth="1"/>
    <col min="10" max="11" width="15" customWidth="1"/>
    <col min="12" max="12" width="13" customWidth="1"/>
    <col min="13" max="13" width="26" customWidth="1"/>
    <col min="14" max="15" width="10" customWidth="1"/>
    <col min="16" max="17" width="12" customWidth="1"/>
    <col min="19" max="19" width="60" customWidth="1"/>
  </cols>
  <sheetData>
    <row r="1" spans="1:19" ht="4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2" t="s">
        <v>17</v>
      </c>
    </row>
    <row r="2" spans="1:19" x14ac:dyDescent="0.3">
      <c r="A2" s="3">
        <v>1</v>
      </c>
      <c r="B2" s="3" t="s">
        <v>18</v>
      </c>
      <c r="C2" s="4">
        <v>44482</v>
      </c>
      <c r="D2" s="4">
        <v>44488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>
        <v>2</v>
      </c>
      <c r="O2" s="5">
        <v>0</v>
      </c>
      <c r="P2" s="6">
        <v>163.69999999999999</v>
      </c>
      <c r="Q2" s="6">
        <v>17.07</v>
      </c>
    </row>
    <row r="3" spans="1:19" x14ac:dyDescent="0.3">
      <c r="A3" s="3">
        <v>2</v>
      </c>
      <c r="B3" s="3" t="s">
        <v>28</v>
      </c>
      <c r="C3" s="4">
        <v>45116</v>
      </c>
      <c r="D3" s="4">
        <v>45121</v>
      </c>
      <c r="E3" s="3" t="s">
        <v>19</v>
      </c>
      <c r="F3" s="3" t="s">
        <v>29</v>
      </c>
      <c r="G3" s="3" t="s">
        <v>30</v>
      </c>
      <c r="H3" s="3" t="s">
        <v>22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>
        <v>5</v>
      </c>
      <c r="O3" s="5">
        <v>0</v>
      </c>
      <c r="P3" s="6">
        <v>2856.83</v>
      </c>
      <c r="Q3" s="6">
        <v>586.46</v>
      </c>
    </row>
    <row r="4" spans="1:19" x14ac:dyDescent="0.3">
      <c r="A4" s="3">
        <v>3</v>
      </c>
      <c r="B4" s="3" t="s">
        <v>36</v>
      </c>
      <c r="C4" s="4">
        <v>44932</v>
      </c>
      <c r="D4" s="4">
        <v>44939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33</v>
      </c>
      <c r="L4" s="3" t="s">
        <v>34</v>
      </c>
      <c r="M4" s="3" t="s">
        <v>43</v>
      </c>
      <c r="N4" s="3">
        <v>6</v>
      </c>
      <c r="O4" s="5">
        <v>0</v>
      </c>
      <c r="P4" s="6">
        <v>2595.09</v>
      </c>
      <c r="Q4" s="6">
        <v>487.46</v>
      </c>
    </row>
    <row r="5" spans="1:19" x14ac:dyDescent="0.3">
      <c r="A5" s="3">
        <v>4</v>
      </c>
      <c r="B5" s="3" t="s">
        <v>44</v>
      </c>
      <c r="C5" s="4">
        <v>45551</v>
      </c>
      <c r="D5" s="4">
        <v>45553</v>
      </c>
      <c r="E5" s="3" t="s">
        <v>37</v>
      </c>
      <c r="F5" s="3" t="s">
        <v>45</v>
      </c>
      <c r="G5" s="3" t="s">
        <v>30</v>
      </c>
      <c r="H5" s="3" t="s">
        <v>46</v>
      </c>
      <c r="I5" s="3" t="s">
        <v>47</v>
      </c>
      <c r="J5" s="3" t="s">
        <v>48</v>
      </c>
      <c r="K5" s="3" t="s">
        <v>33</v>
      </c>
      <c r="L5" s="3" t="s">
        <v>49</v>
      </c>
      <c r="M5" s="3" t="s">
        <v>50</v>
      </c>
      <c r="N5" s="3">
        <v>13</v>
      </c>
      <c r="O5" s="5">
        <v>0</v>
      </c>
      <c r="P5" s="6">
        <v>2864.38</v>
      </c>
      <c r="Q5" s="6">
        <v>753.88</v>
      </c>
    </row>
    <row r="6" spans="1:19" x14ac:dyDescent="0.3">
      <c r="A6" s="3">
        <v>5</v>
      </c>
      <c r="B6" s="3" t="s">
        <v>51</v>
      </c>
      <c r="C6" s="4">
        <v>45634</v>
      </c>
      <c r="D6" s="4">
        <v>45640</v>
      </c>
      <c r="E6" s="3" t="s">
        <v>37</v>
      </c>
      <c r="F6" s="3" t="s">
        <v>52</v>
      </c>
      <c r="G6" s="3" t="s">
        <v>30</v>
      </c>
      <c r="H6" s="3" t="s">
        <v>40</v>
      </c>
      <c r="I6" s="3" t="s">
        <v>41</v>
      </c>
      <c r="J6" s="3" t="s">
        <v>42</v>
      </c>
      <c r="K6" s="3" t="s">
        <v>25</v>
      </c>
      <c r="L6" s="3" t="s">
        <v>53</v>
      </c>
      <c r="M6" s="3" t="s">
        <v>54</v>
      </c>
      <c r="N6" s="3">
        <v>11</v>
      </c>
      <c r="O6" s="5">
        <v>0</v>
      </c>
      <c r="P6" s="6">
        <v>114.68</v>
      </c>
      <c r="Q6" s="6">
        <v>8.08</v>
      </c>
    </row>
    <row r="7" spans="1:19" x14ac:dyDescent="0.3">
      <c r="A7" s="3">
        <v>6</v>
      </c>
      <c r="B7" s="3" t="s">
        <v>55</v>
      </c>
      <c r="C7" s="4">
        <v>44262</v>
      </c>
      <c r="D7" s="4">
        <v>44269</v>
      </c>
      <c r="E7" s="3" t="s">
        <v>56</v>
      </c>
      <c r="F7" s="3" t="s">
        <v>57</v>
      </c>
      <c r="G7" s="3" t="s">
        <v>30</v>
      </c>
      <c r="H7" s="3" t="s">
        <v>40</v>
      </c>
      <c r="I7" s="3" t="s">
        <v>41</v>
      </c>
      <c r="J7" s="3" t="s">
        <v>42</v>
      </c>
      <c r="K7" s="3" t="s">
        <v>58</v>
      </c>
      <c r="L7" s="3" t="s">
        <v>59</v>
      </c>
      <c r="M7" s="3" t="s">
        <v>60</v>
      </c>
      <c r="N7" s="3">
        <v>6</v>
      </c>
      <c r="O7" s="5">
        <v>0</v>
      </c>
      <c r="P7" s="6">
        <v>1311.28</v>
      </c>
      <c r="Q7" s="6">
        <v>-161.83000000000001</v>
      </c>
    </row>
    <row r="8" spans="1:19" x14ac:dyDescent="0.3">
      <c r="A8" s="3">
        <v>7</v>
      </c>
      <c r="B8" s="3" t="s">
        <v>61</v>
      </c>
      <c r="C8" s="4">
        <v>45394</v>
      </c>
      <c r="D8" s="4">
        <v>45398</v>
      </c>
      <c r="E8" s="3" t="s">
        <v>62</v>
      </c>
      <c r="F8" s="3" t="s">
        <v>63</v>
      </c>
      <c r="G8" s="3" t="s">
        <v>21</v>
      </c>
      <c r="H8" s="3" t="s">
        <v>40</v>
      </c>
      <c r="I8" s="3" t="s">
        <v>41</v>
      </c>
      <c r="J8" s="3" t="s">
        <v>42</v>
      </c>
      <c r="K8" s="3" t="s">
        <v>33</v>
      </c>
      <c r="L8" s="3" t="s">
        <v>64</v>
      </c>
      <c r="M8" s="3" t="s">
        <v>65</v>
      </c>
      <c r="N8" s="3">
        <v>10</v>
      </c>
      <c r="O8" s="5">
        <v>0.1</v>
      </c>
      <c r="P8" s="6">
        <v>2857.57</v>
      </c>
      <c r="Q8" s="6">
        <v>995.56</v>
      </c>
    </row>
    <row r="9" spans="1:19" x14ac:dyDescent="0.3">
      <c r="A9" s="3">
        <v>8</v>
      </c>
      <c r="B9" s="3" t="s">
        <v>66</v>
      </c>
      <c r="C9" s="4">
        <v>45418</v>
      </c>
      <c r="D9" s="4">
        <v>45419</v>
      </c>
      <c r="E9" s="3" t="s">
        <v>37</v>
      </c>
      <c r="F9" s="3" t="s">
        <v>67</v>
      </c>
      <c r="G9" s="3" t="s">
        <v>30</v>
      </c>
      <c r="H9" s="3" t="s">
        <v>22</v>
      </c>
      <c r="I9" s="3" t="s">
        <v>68</v>
      </c>
      <c r="J9" s="3" t="s">
        <v>69</v>
      </c>
      <c r="K9" s="3" t="s">
        <v>25</v>
      </c>
      <c r="L9" s="3" t="s">
        <v>53</v>
      </c>
      <c r="M9" s="3" t="s">
        <v>54</v>
      </c>
      <c r="N9" s="3">
        <v>7</v>
      </c>
      <c r="O9" s="5">
        <v>0.4</v>
      </c>
      <c r="P9" s="6">
        <v>289.70999999999998</v>
      </c>
      <c r="Q9" s="6">
        <v>19.55</v>
      </c>
    </row>
    <row r="10" spans="1:19" x14ac:dyDescent="0.3">
      <c r="A10" s="3">
        <v>9</v>
      </c>
      <c r="B10" s="3" t="s">
        <v>70</v>
      </c>
      <c r="C10" s="4">
        <v>44736</v>
      </c>
      <c r="D10" s="4">
        <v>44741</v>
      </c>
      <c r="E10" s="3" t="s">
        <v>19</v>
      </c>
      <c r="F10" s="3" t="s">
        <v>71</v>
      </c>
      <c r="G10" s="3" t="s">
        <v>21</v>
      </c>
      <c r="H10" s="3" t="s">
        <v>22</v>
      </c>
      <c r="I10" s="3" t="s">
        <v>72</v>
      </c>
      <c r="J10" s="3" t="s">
        <v>73</v>
      </c>
      <c r="K10" s="3" t="s">
        <v>25</v>
      </c>
      <c r="L10" s="3" t="s">
        <v>74</v>
      </c>
      <c r="M10" s="3" t="s">
        <v>75</v>
      </c>
      <c r="N10" s="3">
        <v>13</v>
      </c>
      <c r="O10" s="5">
        <v>0</v>
      </c>
      <c r="P10" s="6">
        <v>300.05</v>
      </c>
      <c r="Q10" s="6">
        <v>81.709999999999994</v>
      </c>
    </row>
    <row r="11" spans="1:19" x14ac:dyDescent="0.3">
      <c r="A11" s="3">
        <v>10</v>
      </c>
      <c r="B11" s="3" t="s">
        <v>76</v>
      </c>
      <c r="C11" s="4">
        <v>45423</v>
      </c>
      <c r="D11" s="4">
        <v>45426</v>
      </c>
      <c r="E11" s="3" t="s">
        <v>62</v>
      </c>
      <c r="F11" s="3" t="s">
        <v>77</v>
      </c>
      <c r="G11" s="3" t="s">
        <v>21</v>
      </c>
      <c r="H11" s="3" t="s">
        <v>46</v>
      </c>
      <c r="I11" s="3" t="s">
        <v>78</v>
      </c>
      <c r="J11" s="3" t="s">
        <v>79</v>
      </c>
      <c r="K11" s="3" t="s">
        <v>25</v>
      </c>
      <c r="L11" s="3" t="s">
        <v>80</v>
      </c>
      <c r="M11" s="3" t="s">
        <v>81</v>
      </c>
      <c r="N11" s="3">
        <v>8</v>
      </c>
      <c r="O11" s="5">
        <v>0.2</v>
      </c>
      <c r="P11" s="6">
        <v>32.32</v>
      </c>
      <c r="Q11" s="6">
        <v>8.9600000000000009</v>
      </c>
    </row>
    <row r="12" spans="1:19" x14ac:dyDescent="0.3">
      <c r="A12" s="3">
        <v>11</v>
      </c>
      <c r="B12" s="3" t="s">
        <v>82</v>
      </c>
      <c r="C12" s="4">
        <v>45548</v>
      </c>
      <c r="D12" s="4">
        <v>45552</v>
      </c>
      <c r="E12" s="3" t="s">
        <v>37</v>
      </c>
      <c r="F12" s="3" t="s">
        <v>83</v>
      </c>
      <c r="G12" s="3" t="s">
        <v>39</v>
      </c>
      <c r="H12" s="3" t="s">
        <v>22</v>
      </c>
      <c r="I12" s="3" t="s">
        <v>84</v>
      </c>
      <c r="J12" s="3" t="s">
        <v>85</v>
      </c>
      <c r="K12" s="3" t="s">
        <v>58</v>
      </c>
      <c r="L12" s="3" t="s">
        <v>86</v>
      </c>
      <c r="M12" s="3" t="s">
        <v>87</v>
      </c>
      <c r="N12" s="3">
        <v>9</v>
      </c>
      <c r="O12" s="5">
        <v>0.3</v>
      </c>
      <c r="P12" s="6">
        <v>881.32</v>
      </c>
      <c r="Q12" s="6">
        <v>289.62</v>
      </c>
    </row>
    <row r="13" spans="1:19" x14ac:dyDescent="0.3">
      <c r="A13" s="3">
        <v>12</v>
      </c>
      <c r="B13" s="3" t="s">
        <v>88</v>
      </c>
      <c r="C13" s="4">
        <v>44328</v>
      </c>
      <c r="D13" s="4">
        <v>44331</v>
      </c>
      <c r="E13" s="3" t="s">
        <v>62</v>
      </c>
      <c r="F13" s="3" t="s">
        <v>89</v>
      </c>
      <c r="G13" s="3" t="s">
        <v>21</v>
      </c>
      <c r="H13" s="3" t="s">
        <v>90</v>
      </c>
      <c r="I13" s="3" t="s">
        <v>91</v>
      </c>
      <c r="J13" s="3" t="s">
        <v>92</v>
      </c>
      <c r="K13" s="3" t="s">
        <v>25</v>
      </c>
      <c r="L13" s="3" t="s">
        <v>26</v>
      </c>
      <c r="M13" s="3" t="s">
        <v>27</v>
      </c>
      <c r="N13" s="3">
        <v>1</v>
      </c>
      <c r="O13" s="5">
        <v>0.1</v>
      </c>
      <c r="P13" s="6">
        <v>69.28</v>
      </c>
      <c r="Q13" s="6">
        <v>7.14</v>
      </c>
    </row>
    <row r="14" spans="1:19" x14ac:dyDescent="0.3">
      <c r="A14" s="3">
        <v>13</v>
      </c>
      <c r="B14" s="3" t="s">
        <v>93</v>
      </c>
      <c r="C14" s="4">
        <v>45567</v>
      </c>
      <c r="D14" s="4">
        <v>45571</v>
      </c>
      <c r="E14" s="3" t="s">
        <v>62</v>
      </c>
      <c r="F14" s="3" t="s">
        <v>94</v>
      </c>
      <c r="G14" s="3" t="s">
        <v>21</v>
      </c>
      <c r="H14" s="3" t="s">
        <v>22</v>
      </c>
      <c r="I14" s="3" t="s">
        <v>72</v>
      </c>
      <c r="J14" s="3" t="s">
        <v>73</v>
      </c>
      <c r="K14" s="3" t="s">
        <v>33</v>
      </c>
      <c r="L14" s="3" t="s">
        <v>95</v>
      </c>
      <c r="M14" s="3" t="s">
        <v>96</v>
      </c>
      <c r="N14" s="3">
        <v>4</v>
      </c>
      <c r="O14" s="5">
        <v>0.4</v>
      </c>
      <c r="P14" s="6">
        <v>1369.22</v>
      </c>
      <c r="Q14" s="6">
        <v>-142.66999999999999</v>
      </c>
    </row>
    <row r="15" spans="1:19" x14ac:dyDescent="0.3">
      <c r="A15" s="3">
        <v>14</v>
      </c>
      <c r="B15" s="3" t="s">
        <v>97</v>
      </c>
      <c r="C15" s="4">
        <v>44307</v>
      </c>
      <c r="D15" s="4">
        <v>44313</v>
      </c>
      <c r="E15" s="3" t="s">
        <v>19</v>
      </c>
      <c r="F15" s="3" t="s">
        <v>98</v>
      </c>
      <c r="G15" s="3" t="s">
        <v>21</v>
      </c>
      <c r="H15" s="3" t="s">
        <v>90</v>
      </c>
      <c r="I15" s="3" t="s">
        <v>99</v>
      </c>
      <c r="J15" s="3" t="s">
        <v>100</v>
      </c>
      <c r="K15" s="3" t="s">
        <v>25</v>
      </c>
      <c r="L15" s="3" t="s">
        <v>74</v>
      </c>
      <c r="M15" s="3" t="s">
        <v>101</v>
      </c>
      <c r="N15" s="3">
        <v>11</v>
      </c>
      <c r="O15" s="5">
        <v>0</v>
      </c>
      <c r="P15" s="6">
        <v>1299.45</v>
      </c>
      <c r="Q15" s="6">
        <v>-277.60000000000002</v>
      </c>
    </row>
    <row r="16" spans="1:19" x14ac:dyDescent="0.3">
      <c r="A16" s="3">
        <v>15</v>
      </c>
      <c r="B16" s="3" t="s">
        <v>102</v>
      </c>
      <c r="C16" s="4">
        <v>44708</v>
      </c>
      <c r="D16" s="4">
        <v>44715</v>
      </c>
      <c r="E16" s="3" t="s">
        <v>56</v>
      </c>
      <c r="F16" s="3" t="s">
        <v>103</v>
      </c>
      <c r="G16" s="3" t="s">
        <v>21</v>
      </c>
      <c r="H16" s="3" t="s">
        <v>90</v>
      </c>
      <c r="I16" s="3" t="s">
        <v>104</v>
      </c>
      <c r="J16" s="3" t="s">
        <v>105</v>
      </c>
      <c r="K16" s="3" t="s">
        <v>25</v>
      </c>
      <c r="L16" s="3" t="s">
        <v>106</v>
      </c>
      <c r="M16" s="3" t="s">
        <v>107</v>
      </c>
      <c r="N16" s="3">
        <v>2</v>
      </c>
      <c r="O16" s="5">
        <v>0</v>
      </c>
      <c r="P16" s="6">
        <v>108.58</v>
      </c>
      <c r="Q16" s="6">
        <v>-23.85</v>
      </c>
    </row>
    <row r="17" spans="1:17" x14ac:dyDescent="0.3">
      <c r="A17" s="3">
        <v>16</v>
      </c>
      <c r="B17" s="3" t="s">
        <v>108</v>
      </c>
      <c r="C17" s="4">
        <v>44534</v>
      </c>
      <c r="D17" s="4">
        <v>44538</v>
      </c>
      <c r="E17" s="3" t="s">
        <v>56</v>
      </c>
      <c r="F17" s="3" t="s">
        <v>109</v>
      </c>
      <c r="G17" s="3" t="s">
        <v>39</v>
      </c>
      <c r="H17" s="3" t="s">
        <v>90</v>
      </c>
      <c r="I17" s="3" t="s">
        <v>110</v>
      </c>
      <c r="J17" s="3" t="s">
        <v>111</v>
      </c>
      <c r="K17" s="3" t="s">
        <v>33</v>
      </c>
      <c r="L17" s="3" t="s">
        <v>34</v>
      </c>
      <c r="M17" s="3" t="s">
        <v>43</v>
      </c>
      <c r="N17" s="3">
        <v>1</v>
      </c>
      <c r="O17" s="5">
        <v>0.15</v>
      </c>
      <c r="P17" s="6">
        <v>659.03</v>
      </c>
      <c r="Q17" s="6">
        <v>201.6</v>
      </c>
    </row>
    <row r="18" spans="1:17" x14ac:dyDescent="0.3">
      <c r="A18" s="3">
        <v>17</v>
      </c>
      <c r="B18" s="3" t="s">
        <v>112</v>
      </c>
      <c r="C18" s="4">
        <v>45307</v>
      </c>
      <c r="D18" s="4">
        <v>45308</v>
      </c>
      <c r="E18" s="3" t="s">
        <v>19</v>
      </c>
      <c r="F18" s="3" t="s">
        <v>113</v>
      </c>
      <c r="G18" s="3" t="s">
        <v>21</v>
      </c>
      <c r="H18" s="3" t="s">
        <v>40</v>
      </c>
      <c r="I18" s="3" t="s">
        <v>114</v>
      </c>
      <c r="J18" s="3" t="s">
        <v>115</v>
      </c>
      <c r="K18" s="3" t="s">
        <v>25</v>
      </c>
      <c r="L18" s="3" t="s">
        <v>116</v>
      </c>
      <c r="M18" s="3" t="s">
        <v>117</v>
      </c>
      <c r="N18" s="3">
        <v>12</v>
      </c>
      <c r="O18" s="5">
        <v>0</v>
      </c>
      <c r="P18" s="6">
        <v>468.06</v>
      </c>
      <c r="Q18" s="6">
        <v>47.04</v>
      </c>
    </row>
    <row r="19" spans="1:17" x14ac:dyDescent="0.3">
      <c r="A19" s="3">
        <v>18</v>
      </c>
      <c r="B19" s="3" t="s">
        <v>118</v>
      </c>
      <c r="C19" s="4">
        <v>44442</v>
      </c>
      <c r="D19" s="4">
        <v>44447</v>
      </c>
      <c r="E19" s="3" t="s">
        <v>37</v>
      </c>
      <c r="F19" s="3" t="s">
        <v>119</v>
      </c>
      <c r="G19" s="3" t="s">
        <v>39</v>
      </c>
      <c r="H19" s="3" t="s">
        <v>22</v>
      </c>
      <c r="I19" s="3" t="s">
        <v>31</v>
      </c>
      <c r="J19" s="3" t="s">
        <v>32</v>
      </c>
      <c r="K19" s="3" t="s">
        <v>33</v>
      </c>
      <c r="L19" s="3" t="s">
        <v>95</v>
      </c>
      <c r="M19" s="3" t="s">
        <v>120</v>
      </c>
      <c r="N19" s="3">
        <v>4</v>
      </c>
      <c r="O19" s="5">
        <v>0</v>
      </c>
      <c r="P19" s="6">
        <v>1663.08</v>
      </c>
      <c r="Q19" s="6">
        <v>202.28</v>
      </c>
    </row>
    <row r="20" spans="1:17" x14ac:dyDescent="0.3">
      <c r="A20" s="3">
        <v>19</v>
      </c>
      <c r="B20" s="3" t="s">
        <v>121</v>
      </c>
      <c r="C20" s="4">
        <v>44740</v>
      </c>
      <c r="D20" s="4">
        <v>44744</v>
      </c>
      <c r="E20" s="3" t="s">
        <v>62</v>
      </c>
      <c r="F20" s="3" t="s">
        <v>122</v>
      </c>
      <c r="G20" s="3" t="s">
        <v>39</v>
      </c>
      <c r="H20" s="3" t="s">
        <v>46</v>
      </c>
      <c r="I20" s="3" t="s">
        <v>78</v>
      </c>
      <c r="J20" s="3" t="s">
        <v>79</v>
      </c>
      <c r="K20" s="3" t="s">
        <v>25</v>
      </c>
      <c r="L20" s="3" t="s">
        <v>106</v>
      </c>
      <c r="M20" s="3" t="s">
        <v>123</v>
      </c>
      <c r="N20" s="3">
        <v>3</v>
      </c>
      <c r="O20" s="5">
        <v>0.15</v>
      </c>
      <c r="P20" s="6">
        <v>232.81</v>
      </c>
      <c r="Q20" s="6">
        <v>5.67</v>
      </c>
    </row>
    <row r="21" spans="1:17" x14ac:dyDescent="0.3">
      <c r="A21" s="3">
        <v>20</v>
      </c>
      <c r="B21" s="3" t="s">
        <v>124</v>
      </c>
      <c r="C21" s="4">
        <v>44911</v>
      </c>
      <c r="D21" s="4">
        <v>44912</v>
      </c>
      <c r="E21" s="3" t="s">
        <v>37</v>
      </c>
      <c r="F21" s="3" t="s">
        <v>125</v>
      </c>
      <c r="G21" s="3" t="s">
        <v>21</v>
      </c>
      <c r="H21" s="3" t="s">
        <v>22</v>
      </c>
      <c r="I21" s="3" t="s">
        <v>31</v>
      </c>
      <c r="J21" s="3" t="s">
        <v>32</v>
      </c>
      <c r="K21" s="3" t="s">
        <v>33</v>
      </c>
      <c r="L21" s="3" t="s">
        <v>64</v>
      </c>
      <c r="M21" s="3" t="s">
        <v>126</v>
      </c>
      <c r="N21" s="3">
        <v>4</v>
      </c>
      <c r="O21" s="5">
        <v>0</v>
      </c>
      <c r="P21" s="6">
        <v>1097.72</v>
      </c>
      <c r="Q21" s="6">
        <v>14.17</v>
      </c>
    </row>
    <row r="22" spans="1:17" x14ac:dyDescent="0.3">
      <c r="A22" s="3">
        <v>21</v>
      </c>
      <c r="B22" s="3" t="s">
        <v>127</v>
      </c>
      <c r="C22" s="4">
        <v>45330</v>
      </c>
      <c r="D22" s="4">
        <v>45332</v>
      </c>
      <c r="E22" s="3" t="s">
        <v>37</v>
      </c>
      <c r="F22" s="3" t="s">
        <v>128</v>
      </c>
      <c r="G22" s="3" t="s">
        <v>30</v>
      </c>
      <c r="H22" s="3" t="s">
        <v>22</v>
      </c>
      <c r="I22" s="3" t="s">
        <v>68</v>
      </c>
      <c r="J22" s="3" t="s">
        <v>69</v>
      </c>
      <c r="K22" s="3" t="s">
        <v>25</v>
      </c>
      <c r="L22" s="3" t="s">
        <v>116</v>
      </c>
      <c r="M22" s="3" t="s">
        <v>117</v>
      </c>
      <c r="N22" s="3">
        <v>5</v>
      </c>
      <c r="O22" s="5">
        <v>0.1</v>
      </c>
      <c r="P22" s="6">
        <v>170.95</v>
      </c>
      <c r="Q22" s="6">
        <v>30.87</v>
      </c>
    </row>
    <row r="23" spans="1:17" x14ac:dyDescent="0.3">
      <c r="A23" s="3">
        <v>22</v>
      </c>
      <c r="B23" s="3" t="s">
        <v>129</v>
      </c>
      <c r="C23" s="4">
        <v>44204</v>
      </c>
      <c r="D23" s="4">
        <v>44207</v>
      </c>
      <c r="E23" s="3" t="s">
        <v>62</v>
      </c>
      <c r="F23" s="3" t="s">
        <v>130</v>
      </c>
      <c r="G23" s="3" t="s">
        <v>39</v>
      </c>
      <c r="H23" s="3" t="s">
        <v>22</v>
      </c>
      <c r="I23" s="3" t="s">
        <v>23</v>
      </c>
      <c r="J23" s="3" t="s">
        <v>24</v>
      </c>
      <c r="K23" s="3" t="s">
        <v>25</v>
      </c>
      <c r="L23" s="3" t="s">
        <v>106</v>
      </c>
      <c r="M23" s="3" t="s">
        <v>123</v>
      </c>
      <c r="N23" s="3">
        <v>13</v>
      </c>
      <c r="O23" s="5">
        <v>0.15</v>
      </c>
      <c r="P23" s="6">
        <v>216.48</v>
      </c>
      <c r="Q23" s="6">
        <v>-33.130000000000003</v>
      </c>
    </row>
    <row r="24" spans="1:17" x14ac:dyDescent="0.3">
      <c r="A24" s="3">
        <v>23</v>
      </c>
      <c r="B24" s="3" t="s">
        <v>131</v>
      </c>
      <c r="C24" s="4">
        <v>44270</v>
      </c>
      <c r="D24" s="4">
        <v>44277</v>
      </c>
      <c r="E24" s="3" t="s">
        <v>37</v>
      </c>
      <c r="F24" s="3" t="s">
        <v>132</v>
      </c>
      <c r="G24" s="3" t="s">
        <v>21</v>
      </c>
      <c r="H24" s="3" t="s">
        <v>22</v>
      </c>
      <c r="I24" s="3" t="s">
        <v>23</v>
      </c>
      <c r="J24" s="3" t="s">
        <v>24</v>
      </c>
      <c r="K24" s="3" t="s">
        <v>58</v>
      </c>
      <c r="L24" s="3" t="s">
        <v>86</v>
      </c>
      <c r="M24" s="3" t="s">
        <v>133</v>
      </c>
      <c r="N24" s="3">
        <v>6</v>
      </c>
      <c r="O24" s="5">
        <v>0</v>
      </c>
      <c r="P24" s="6">
        <v>1822.68</v>
      </c>
      <c r="Q24" s="6">
        <v>14.35</v>
      </c>
    </row>
    <row r="25" spans="1:17" x14ac:dyDescent="0.3">
      <c r="A25" s="3">
        <v>24</v>
      </c>
      <c r="B25" s="3" t="s">
        <v>134</v>
      </c>
      <c r="C25" s="4">
        <v>45029</v>
      </c>
      <c r="D25" s="4">
        <v>45034</v>
      </c>
      <c r="E25" s="3" t="s">
        <v>37</v>
      </c>
      <c r="F25" s="3" t="s">
        <v>135</v>
      </c>
      <c r="G25" s="3" t="s">
        <v>21</v>
      </c>
      <c r="H25" s="3" t="s">
        <v>40</v>
      </c>
      <c r="I25" s="3" t="s">
        <v>114</v>
      </c>
      <c r="J25" s="3" t="s">
        <v>115</v>
      </c>
      <c r="K25" s="3" t="s">
        <v>25</v>
      </c>
      <c r="L25" s="3" t="s">
        <v>106</v>
      </c>
      <c r="M25" s="3" t="s">
        <v>136</v>
      </c>
      <c r="N25" s="3">
        <v>12</v>
      </c>
      <c r="O25" s="5">
        <v>0.1</v>
      </c>
      <c r="P25" s="6">
        <v>235.56</v>
      </c>
      <c r="Q25" s="6">
        <v>63.31</v>
      </c>
    </row>
    <row r="26" spans="1:17" x14ac:dyDescent="0.3">
      <c r="A26" s="3">
        <v>25</v>
      </c>
      <c r="B26" s="3" t="s">
        <v>137</v>
      </c>
      <c r="C26" s="4">
        <v>44980</v>
      </c>
      <c r="D26" s="4">
        <v>44987</v>
      </c>
      <c r="E26" s="3" t="s">
        <v>19</v>
      </c>
      <c r="F26" s="3" t="s">
        <v>138</v>
      </c>
      <c r="G26" s="3" t="s">
        <v>21</v>
      </c>
      <c r="H26" s="3" t="s">
        <v>90</v>
      </c>
      <c r="I26" s="3" t="s">
        <v>104</v>
      </c>
      <c r="J26" s="3" t="s">
        <v>105</v>
      </c>
      <c r="K26" s="3" t="s">
        <v>25</v>
      </c>
      <c r="L26" s="3" t="s">
        <v>53</v>
      </c>
      <c r="M26" s="3" t="s">
        <v>139</v>
      </c>
      <c r="N26" s="3">
        <v>1</v>
      </c>
      <c r="O26" s="5">
        <v>0.1</v>
      </c>
      <c r="P26" s="6">
        <v>100.21</v>
      </c>
      <c r="Q26" s="6">
        <v>-13.05</v>
      </c>
    </row>
    <row r="27" spans="1:17" x14ac:dyDescent="0.3">
      <c r="A27" s="3">
        <v>26</v>
      </c>
      <c r="B27" s="3" t="s">
        <v>140</v>
      </c>
      <c r="C27" s="4">
        <v>44768</v>
      </c>
      <c r="D27" s="4">
        <v>44771</v>
      </c>
      <c r="E27" s="3" t="s">
        <v>37</v>
      </c>
      <c r="F27" s="3" t="s">
        <v>141</v>
      </c>
      <c r="G27" s="3" t="s">
        <v>39</v>
      </c>
      <c r="H27" s="3" t="s">
        <v>22</v>
      </c>
      <c r="I27" s="3" t="s">
        <v>68</v>
      </c>
      <c r="J27" s="3" t="s">
        <v>69</v>
      </c>
      <c r="K27" s="3" t="s">
        <v>25</v>
      </c>
      <c r="L27" s="3" t="s">
        <v>106</v>
      </c>
      <c r="M27" s="3" t="s">
        <v>123</v>
      </c>
      <c r="N27" s="3">
        <v>11</v>
      </c>
      <c r="O27" s="5">
        <v>0.2</v>
      </c>
      <c r="P27" s="6">
        <v>642.22</v>
      </c>
      <c r="Q27" s="6">
        <v>201.36</v>
      </c>
    </row>
    <row r="28" spans="1:17" x14ac:dyDescent="0.3">
      <c r="A28" s="3">
        <v>27</v>
      </c>
      <c r="B28" s="3" t="s">
        <v>142</v>
      </c>
      <c r="C28" s="4">
        <v>44839</v>
      </c>
      <c r="D28" s="4">
        <v>44843</v>
      </c>
      <c r="E28" s="3" t="s">
        <v>56</v>
      </c>
      <c r="F28" s="3" t="s">
        <v>143</v>
      </c>
      <c r="G28" s="3" t="s">
        <v>39</v>
      </c>
      <c r="H28" s="3" t="s">
        <v>22</v>
      </c>
      <c r="I28" s="3" t="s">
        <v>23</v>
      </c>
      <c r="J28" s="3" t="s">
        <v>24</v>
      </c>
      <c r="K28" s="3" t="s">
        <v>25</v>
      </c>
      <c r="L28" s="3" t="s">
        <v>106</v>
      </c>
      <c r="M28" s="3" t="s">
        <v>136</v>
      </c>
      <c r="N28" s="3">
        <v>10</v>
      </c>
      <c r="O28" s="5">
        <v>0</v>
      </c>
      <c r="P28" s="6">
        <v>1181.4000000000001</v>
      </c>
      <c r="Q28" s="6">
        <v>-22.31</v>
      </c>
    </row>
    <row r="29" spans="1:17" x14ac:dyDescent="0.3">
      <c r="A29" s="3">
        <v>28</v>
      </c>
      <c r="B29" s="3" t="s">
        <v>144</v>
      </c>
      <c r="C29" s="4">
        <v>44589</v>
      </c>
      <c r="D29" s="4">
        <v>44593</v>
      </c>
      <c r="E29" s="3" t="s">
        <v>37</v>
      </c>
      <c r="F29" s="3" t="s">
        <v>145</v>
      </c>
      <c r="G29" s="3" t="s">
        <v>21</v>
      </c>
      <c r="H29" s="3" t="s">
        <v>46</v>
      </c>
      <c r="I29" s="3" t="s">
        <v>146</v>
      </c>
      <c r="J29" s="3" t="s">
        <v>147</v>
      </c>
      <c r="K29" s="3" t="s">
        <v>25</v>
      </c>
      <c r="L29" s="3" t="s">
        <v>80</v>
      </c>
      <c r="M29" s="3" t="s">
        <v>81</v>
      </c>
      <c r="N29" s="3">
        <v>11</v>
      </c>
      <c r="O29" s="5">
        <v>0</v>
      </c>
      <c r="P29" s="6">
        <v>1242.5899999999999</v>
      </c>
      <c r="Q29" s="6">
        <v>148.25</v>
      </c>
    </row>
    <row r="30" spans="1:17" x14ac:dyDescent="0.3">
      <c r="A30" s="3">
        <v>29</v>
      </c>
      <c r="B30" s="3" t="s">
        <v>148</v>
      </c>
      <c r="C30" s="4">
        <v>45149</v>
      </c>
      <c r="D30" s="4">
        <v>45153</v>
      </c>
      <c r="E30" s="3" t="s">
        <v>37</v>
      </c>
      <c r="F30" s="3" t="s">
        <v>149</v>
      </c>
      <c r="G30" s="3" t="s">
        <v>39</v>
      </c>
      <c r="H30" s="3" t="s">
        <v>46</v>
      </c>
      <c r="I30" s="3" t="s">
        <v>78</v>
      </c>
      <c r="J30" s="3" t="s">
        <v>79</v>
      </c>
      <c r="K30" s="3" t="s">
        <v>25</v>
      </c>
      <c r="L30" s="3" t="s">
        <v>80</v>
      </c>
      <c r="M30" s="3" t="s">
        <v>150</v>
      </c>
      <c r="N30" s="3">
        <v>8</v>
      </c>
      <c r="O30" s="5">
        <v>0.4</v>
      </c>
      <c r="P30" s="6">
        <v>575.34</v>
      </c>
      <c r="Q30" s="6">
        <v>130.16999999999999</v>
      </c>
    </row>
    <row r="31" spans="1:17" x14ac:dyDescent="0.3">
      <c r="A31" s="3">
        <v>30</v>
      </c>
      <c r="B31" s="3" t="s">
        <v>151</v>
      </c>
      <c r="C31" s="4">
        <v>44498</v>
      </c>
      <c r="D31" s="4">
        <v>44499</v>
      </c>
      <c r="E31" s="3" t="s">
        <v>19</v>
      </c>
      <c r="F31" s="3" t="s">
        <v>152</v>
      </c>
      <c r="G31" s="3" t="s">
        <v>39</v>
      </c>
      <c r="H31" s="3" t="s">
        <v>22</v>
      </c>
      <c r="I31" s="3" t="s">
        <v>68</v>
      </c>
      <c r="J31" s="3" t="s">
        <v>69</v>
      </c>
      <c r="K31" s="3" t="s">
        <v>25</v>
      </c>
      <c r="L31" s="3" t="s">
        <v>26</v>
      </c>
      <c r="M31" s="3" t="s">
        <v>27</v>
      </c>
      <c r="N31" s="3">
        <v>1</v>
      </c>
      <c r="O31" s="5">
        <v>0.4</v>
      </c>
      <c r="P31" s="6">
        <v>27.18</v>
      </c>
      <c r="Q31" s="6">
        <v>3.17</v>
      </c>
    </row>
    <row r="32" spans="1:17" x14ac:dyDescent="0.3">
      <c r="A32" s="3">
        <v>31</v>
      </c>
      <c r="B32" s="3" t="s">
        <v>153</v>
      </c>
      <c r="C32" s="4">
        <v>45605</v>
      </c>
      <c r="D32" s="4">
        <v>45606</v>
      </c>
      <c r="E32" s="3" t="s">
        <v>62</v>
      </c>
      <c r="F32" s="3" t="s">
        <v>154</v>
      </c>
      <c r="G32" s="3" t="s">
        <v>30</v>
      </c>
      <c r="H32" s="3" t="s">
        <v>90</v>
      </c>
      <c r="I32" s="3" t="s">
        <v>110</v>
      </c>
      <c r="J32" s="3" t="s">
        <v>111</v>
      </c>
      <c r="K32" s="3" t="s">
        <v>25</v>
      </c>
      <c r="L32" s="3" t="s">
        <v>26</v>
      </c>
      <c r="M32" s="3" t="s">
        <v>155</v>
      </c>
      <c r="N32" s="3">
        <v>13</v>
      </c>
      <c r="O32" s="5">
        <v>0</v>
      </c>
      <c r="P32" s="6">
        <v>1345.92</v>
      </c>
      <c r="Q32" s="6">
        <v>292.13</v>
      </c>
    </row>
    <row r="33" spans="1:17" x14ac:dyDescent="0.3">
      <c r="A33" s="3">
        <v>32</v>
      </c>
      <c r="B33" s="3" t="s">
        <v>156</v>
      </c>
      <c r="C33" s="4">
        <v>45284</v>
      </c>
      <c r="D33" s="4">
        <v>45289</v>
      </c>
      <c r="E33" s="3" t="s">
        <v>56</v>
      </c>
      <c r="F33" s="3" t="s">
        <v>157</v>
      </c>
      <c r="G33" s="3" t="s">
        <v>21</v>
      </c>
      <c r="H33" s="3" t="s">
        <v>40</v>
      </c>
      <c r="I33" s="3" t="s">
        <v>158</v>
      </c>
      <c r="J33" s="3" t="s">
        <v>159</v>
      </c>
      <c r="K33" s="3" t="s">
        <v>25</v>
      </c>
      <c r="L33" s="3" t="s">
        <v>74</v>
      </c>
      <c r="M33" s="3" t="s">
        <v>101</v>
      </c>
      <c r="N33" s="3">
        <v>10</v>
      </c>
      <c r="O33" s="5">
        <v>0.4</v>
      </c>
      <c r="P33" s="6">
        <v>347.08</v>
      </c>
      <c r="Q33" s="6">
        <v>40.81</v>
      </c>
    </row>
    <row r="34" spans="1:17" x14ac:dyDescent="0.3">
      <c r="A34" s="3">
        <v>33</v>
      </c>
      <c r="B34" s="3" t="s">
        <v>160</v>
      </c>
      <c r="C34" s="4">
        <v>45264</v>
      </c>
      <c r="D34" s="4">
        <v>45268</v>
      </c>
      <c r="E34" s="3" t="s">
        <v>37</v>
      </c>
      <c r="F34" s="3" t="s">
        <v>161</v>
      </c>
      <c r="G34" s="3" t="s">
        <v>30</v>
      </c>
      <c r="H34" s="3" t="s">
        <v>90</v>
      </c>
      <c r="I34" s="3" t="s">
        <v>99</v>
      </c>
      <c r="J34" s="3" t="s">
        <v>100</v>
      </c>
      <c r="K34" s="3" t="s">
        <v>25</v>
      </c>
      <c r="L34" s="3" t="s">
        <v>53</v>
      </c>
      <c r="M34" s="3" t="s">
        <v>54</v>
      </c>
      <c r="N34" s="3">
        <v>11</v>
      </c>
      <c r="O34" s="5">
        <v>0.4</v>
      </c>
      <c r="P34" s="6">
        <v>292.64</v>
      </c>
      <c r="Q34" s="6">
        <v>-59.56</v>
      </c>
    </row>
    <row r="35" spans="1:17" x14ac:dyDescent="0.3">
      <c r="A35" s="3">
        <v>34</v>
      </c>
      <c r="B35" s="3" t="s">
        <v>162</v>
      </c>
      <c r="C35" s="4">
        <v>45643</v>
      </c>
      <c r="D35" s="4">
        <v>45645</v>
      </c>
      <c r="E35" s="3" t="s">
        <v>56</v>
      </c>
      <c r="F35" s="3" t="s">
        <v>163</v>
      </c>
      <c r="G35" s="3" t="s">
        <v>30</v>
      </c>
      <c r="H35" s="3" t="s">
        <v>22</v>
      </c>
      <c r="I35" s="3" t="s">
        <v>68</v>
      </c>
      <c r="J35" s="3" t="s">
        <v>69</v>
      </c>
      <c r="K35" s="3" t="s">
        <v>33</v>
      </c>
      <c r="L35" s="3" t="s">
        <v>34</v>
      </c>
      <c r="M35" s="3" t="s">
        <v>35</v>
      </c>
      <c r="N35" s="3">
        <v>2</v>
      </c>
      <c r="O35" s="5">
        <v>0.2</v>
      </c>
      <c r="P35" s="6">
        <v>573.47</v>
      </c>
      <c r="Q35" s="6">
        <v>43.34</v>
      </c>
    </row>
    <row r="36" spans="1:17" x14ac:dyDescent="0.3">
      <c r="A36" s="3">
        <v>35</v>
      </c>
      <c r="B36" s="3" t="s">
        <v>164</v>
      </c>
      <c r="C36" s="4">
        <v>44808</v>
      </c>
      <c r="D36" s="4">
        <v>44815</v>
      </c>
      <c r="E36" s="3" t="s">
        <v>56</v>
      </c>
      <c r="F36" s="3" t="s">
        <v>165</v>
      </c>
      <c r="G36" s="3" t="s">
        <v>30</v>
      </c>
      <c r="H36" s="3" t="s">
        <v>22</v>
      </c>
      <c r="I36" s="3" t="s">
        <v>31</v>
      </c>
      <c r="J36" s="3" t="s">
        <v>32</v>
      </c>
      <c r="K36" s="3" t="s">
        <v>25</v>
      </c>
      <c r="L36" s="3" t="s">
        <v>116</v>
      </c>
      <c r="M36" s="3" t="s">
        <v>166</v>
      </c>
      <c r="N36" s="3">
        <v>7</v>
      </c>
      <c r="O36" s="5">
        <v>0.3</v>
      </c>
      <c r="P36" s="6">
        <v>654.24</v>
      </c>
      <c r="Q36" s="6">
        <v>47.72</v>
      </c>
    </row>
    <row r="37" spans="1:17" x14ac:dyDescent="0.3">
      <c r="A37" s="3">
        <v>36</v>
      </c>
      <c r="B37" s="3" t="s">
        <v>167</v>
      </c>
      <c r="C37" s="4">
        <v>45025</v>
      </c>
      <c r="D37" s="4">
        <v>45031</v>
      </c>
      <c r="E37" s="3" t="s">
        <v>62</v>
      </c>
      <c r="F37" s="3" t="s">
        <v>168</v>
      </c>
      <c r="G37" s="3" t="s">
        <v>39</v>
      </c>
      <c r="H37" s="3" t="s">
        <v>90</v>
      </c>
      <c r="I37" s="3" t="s">
        <v>169</v>
      </c>
      <c r="J37" s="3" t="s">
        <v>170</v>
      </c>
      <c r="K37" s="3" t="s">
        <v>25</v>
      </c>
      <c r="L37" s="3" t="s">
        <v>53</v>
      </c>
      <c r="M37" s="3" t="s">
        <v>171</v>
      </c>
      <c r="N37" s="3">
        <v>3</v>
      </c>
      <c r="O37" s="5">
        <v>0</v>
      </c>
      <c r="P37" s="6">
        <v>303.54000000000002</v>
      </c>
      <c r="Q37" s="6">
        <v>102.73</v>
      </c>
    </row>
    <row r="38" spans="1:17" x14ac:dyDescent="0.3">
      <c r="A38" s="3">
        <v>37</v>
      </c>
      <c r="B38" s="3" t="s">
        <v>172</v>
      </c>
      <c r="C38" s="4">
        <v>44299</v>
      </c>
      <c r="D38" s="4">
        <v>44302</v>
      </c>
      <c r="E38" s="3" t="s">
        <v>62</v>
      </c>
      <c r="F38" s="3" t="s">
        <v>173</v>
      </c>
      <c r="G38" s="3" t="s">
        <v>30</v>
      </c>
      <c r="H38" s="3" t="s">
        <v>22</v>
      </c>
      <c r="I38" s="3" t="s">
        <v>84</v>
      </c>
      <c r="J38" s="3" t="s">
        <v>85</v>
      </c>
      <c r="K38" s="3" t="s">
        <v>33</v>
      </c>
      <c r="L38" s="3" t="s">
        <v>34</v>
      </c>
      <c r="M38" s="3" t="s">
        <v>35</v>
      </c>
      <c r="N38" s="3">
        <v>7</v>
      </c>
      <c r="O38" s="5">
        <v>0.4</v>
      </c>
      <c r="P38" s="6">
        <v>1515.13</v>
      </c>
      <c r="Q38" s="6">
        <v>-81.650000000000006</v>
      </c>
    </row>
    <row r="39" spans="1:17" x14ac:dyDescent="0.3">
      <c r="A39" s="3">
        <v>38</v>
      </c>
      <c r="B39" s="3" t="s">
        <v>174</v>
      </c>
      <c r="C39" s="4">
        <v>44656</v>
      </c>
      <c r="D39" s="4">
        <v>44662</v>
      </c>
      <c r="E39" s="3" t="s">
        <v>19</v>
      </c>
      <c r="F39" s="3" t="s">
        <v>175</v>
      </c>
      <c r="G39" s="3" t="s">
        <v>39</v>
      </c>
      <c r="H39" s="3" t="s">
        <v>90</v>
      </c>
      <c r="I39" s="3" t="s">
        <v>169</v>
      </c>
      <c r="J39" s="3" t="s">
        <v>170</v>
      </c>
      <c r="K39" s="3" t="s">
        <v>25</v>
      </c>
      <c r="L39" s="3" t="s">
        <v>116</v>
      </c>
      <c r="M39" s="3" t="s">
        <v>166</v>
      </c>
      <c r="N39" s="3">
        <v>2</v>
      </c>
      <c r="O39" s="5">
        <v>0</v>
      </c>
      <c r="P39" s="6">
        <v>188.37</v>
      </c>
      <c r="Q39" s="6">
        <v>38.15</v>
      </c>
    </row>
    <row r="40" spans="1:17" x14ac:dyDescent="0.3">
      <c r="A40" s="3">
        <v>39</v>
      </c>
      <c r="B40" s="3" t="s">
        <v>176</v>
      </c>
      <c r="C40" s="4">
        <v>44643</v>
      </c>
      <c r="D40" s="4">
        <v>44647</v>
      </c>
      <c r="E40" s="3" t="s">
        <v>62</v>
      </c>
      <c r="F40" s="3" t="s">
        <v>177</v>
      </c>
      <c r="G40" s="3" t="s">
        <v>21</v>
      </c>
      <c r="H40" s="3" t="s">
        <v>40</v>
      </c>
      <c r="I40" s="3" t="s">
        <v>114</v>
      </c>
      <c r="J40" s="3" t="s">
        <v>115</v>
      </c>
      <c r="K40" s="3" t="s">
        <v>25</v>
      </c>
      <c r="L40" s="3" t="s">
        <v>116</v>
      </c>
      <c r="M40" s="3" t="s">
        <v>117</v>
      </c>
      <c r="N40" s="3">
        <v>12</v>
      </c>
      <c r="O40" s="5">
        <v>0.2</v>
      </c>
      <c r="P40" s="6">
        <v>363.63</v>
      </c>
      <c r="Q40" s="6">
        <v>-54.3</v>
      </c>
    </row>
    <row r="41" spans="1:17" x14ac:dyDescent="0.3">
      <c r="A41" s="3">
        <v>40</v>
      </c>
      <c r="B41" s="3" t="s">
        <v>178</v>
      </c>
      <c r="C41" s="4">
        <v>44603</v>
      </c>
      <c r="D41" s="4">
        <v>44604</v>
      </c>
      <c r="E41" s="3" t="s">
        <v>62</v>
      </c>
      <c r="F41" s="3" t="s">
        <v>179</v>
      </c>
      <c r="G41" s="3" t="s">
        <v>39</v>
      </c>
      <c r="H41" s="3" t="s">
        <v>46</v>
      </c>
      <c r="I41" s="3" t="s">
        <v>47</v>
      </c>
      <c r="J41" s="3" t="s">
        <v>48</v>
      </c>
      <c r="K41" s="3" t="s">
        <v>25</v>
      </c>
      <c r="L41" s="3" t="s">
        <v>74</v>
      </c>
      <c r="M41" s="3" t="s">
        <v>180</v>
      </c>
      <c r="N41" s="3">
        <v>10</v>
      </c>
      <c r="O41" s="5">
        <v>0.1</v>
      </c>
      <c r="P41" s="6">
        <v>809.88</v>
      </c>
      <c r="Q41" s="6">
        <v>-152.94999999999999</v>
      </c>
    </row>
    <row r="42" spans="1:17" x14ac:dyDescent="0.3">
      <c r="A42" s="3">
        <v>41</v>
      </c>
      <c r="B42" s="3" t="s">
        <v>181</v>
      </c>
      <c r="C42" s="4">
        <v>45233</v>
      </c>
      <c r="D42" s="4">
        <v>45239</v>
      </c>
      <c r="E42" s="3" t="s">
        <v>56</v>
      </c>
      <c r="F42" s="3" t="s">
        <v>182</v>
      </c>
      <c r="G42" s="3" t="s">
        <v>39</v>
      </c>
      <c r="H42" s="3" t="s">
        <v>46</v>
      </c>
      <c r="I42" s="3" t="s">
        <v>47</v>
      </c>
      <c r="J42" s="3" t="s">
        <v>48</v>
      </c>
      <c r="K42" s="3" t="s">
        <v>25</v>
      </c>
      <c r="L42" s="3" t="s">
        <v>106</v>
      </c>
      <c r="M42" s="3" t="s">
        <v>123</v>
      </c>
      <c r="N42" s="3">
        <v>6</v>
      </c>
      <c r="O42" s="5">
        <v>0.3</v>
      </c>
      <c r="P42" s="6">
        <v>19.07</v>
      </c>
      <c r="Q42" s="6">
        <v>4.6399999999999997</v>
      </c>
    </row>
    <row r="43" spans="1:17" x14ac:dyDescent="0.3">
      <c r="A43" s="3">
        <v>42</v>
      </c>
      <c r="B43" s="3" t="s">
        <v>183</v>
      </c>
      <c r="C43" s="4">
        <v>45299</v>
      </c>
      <c r="D43" s="4">
        <v>45306</v>
      </c>
      <c r="E43" s="3" t="s">
        <v>19</v>
      </c>
      <c r="F43" s="3" t="s">
        <v>184</v>
      </c>
      <c r="G43" s="3" t="s">
        <v>30</v>
      </c>
      <c r="H43" s="3" t="s">
        <v>40</v>
      </c>
      <c r="I43" s="3" t="s">
        <v>185</v>
      </c>
      <c r="J43" s="3" t="s">
        <v>186</v>
      </c>
      <c r="K43" s="3" t="s">
        <v>33</v>
      </c>
      <c r="L43" s="3" t="s">
        <v>64</v>
      </c>
      <c r="M43" s="3" t="s">
        <v>65</v>
      </c>
      <c r="N43" s="3">
        <v>8</v>
      </c>
      <c r="O43" s="5">
        <v>0.15</v>
      </c>
      <c r="P43" s="6">
        <v>2588.35</v>
      </c>
      <c r="Q43" s="6">
        <v>-146.55000000000001</v>
      </c>
    </row>
    <row r="44" spans="1:17" x14ac:dyDescent="0.3">
      <c r="A44" s="3">
        <v>43</v>
      </c>
      <c r="B44" s="3" t="s">
        <v>187</v>
      </c>
      <c r="C44" s="4">
        <v>44255</v>
      </c>
      <c r="D44" s="4">
        <v>44259</v>
      </c>
      <c r="E44" s="3" t="s">
        <v>37</v>
      </c>
      <c r="F44" s="3" t="s">
        <v>188</v>
      </c>
      <c r="G44" s="3" t="s">
        <v>39</v>
      </c>
      <c r="H44" s="3" t="s">
        <v>90</v>
      </c>
      <c r="I44" s="3" t="s">
        <v>91</v>
      </c>
      <c r="J44" s="3" t="s">
        <v>92</v>
      </c>
      <c r="K44" s="3" t="s">
        <v>25</v>
      </c>
      <c r="L44" s="3" t="s">
        <v>74</v>
      </c>
      <c r="M44" s="3" t="s">
        <v>180</v>
      </c>
      <c r="N44" s="3">
        <v>14</v>
      </c>
      <c r="O44" s="5">
        <v>0.4</v>
      </c>
      <c r="P44" s="6">
        <v>497.13</v>
      </c>
      <c r="Q44" s="6">
        <v>-61.01</v>
      </c>
    </row>
    <row r="45" spans="1:17" x14ac:dyDescent="0.3">
      <c r="A45" s="3">
        <v>44</v>
      </c>
      <c r="B45" s="3" t="s">
        <v>189</v>
      </c>
      <c r="C45" s="4">
        <v>45029</v>
      </c>
      <c r="D45" s="4">
        <v>45033</v>
      </c>
      <c r="E45" s="3" t="s">
        <v>37</v>
      </c>
      <c r="F45" s="3" t="s">
        <v>190</v>
      </c>
      <c r="G45" s="3" t="s">
        <v>21</v>
      </c>
      <c r="H45" s="3" t="s">
        <v>22</v>
      </c>
      <c r="I45" s="3" t="s">
        <v>31</v>
      </c>
      <c r="J45" s="3" t="s">
        <v>32</v>
      </c>
      <c r="K45" s="3" t="s">
        <v>58</v>
      </c>
      <c r="L45" s="3" t="s">
        <v>59</v>
      </c>
      <c r="M45" s="3" t="s">
        <v>60</v>
      </c>
      <c r="N45" s="3">
        <v>9</v>
      </c>
      <c r="O45" s="5">
        <v>0.4</v>
      </c>
      <c r="P45" s="6">
        <v>3059.79</v>
      </c>
      <c r="Q45" s="6">
        <v>420.85</v>
      </c>
    </row>
    <row r="46" spans="1:17" x14ac:dyDescent="0.3">
      <c r="A46" s="3">
        <v>45</v>
      </c>
      <c r="B46" s="3" t="s">
        <v>191</v>
      </c>
      <c r="C46" s="4">
        <v>45388</v>
      </c>
      <c r="D46" s="4">
        <v>45391</v>
      </c>
      <c r="E46" s="3" t="s">
        <v>37</v>
      </c>
      <c r="F46" s="3" t="s">
        <v>192</v>
      </c>
      <c r="G46" s="3" t="s">
        <v>30</v>
      </c>
      <c r="H46" s="3" t="s">
        <v>40</v>
      </c>
      <c r="I46" s="3" t="s">
        <v>185</v>
      </c>
      <c r="J46" s="3" t="s">
        <v>186</v>
      </c>
      <c r="K46" s="3" t="s">
        <v>25</v>
      </c>
      <c r="L46" s="3" t="s">
        <v>106</v>
      </c>
      <c r="M46" s="3" t="s">
        <v>136</v>
      </c>
      <c r="N46" s="3">
        <v>8</v>
      </c>
      <c r="O46" s="5">
        <v>0.2</v>
      </c>
      <c r="P46" s="6">
        <v>506.17</v>
      </c>
      <c r="Q46" s="6">
        <v>2.68</v>
      </c>
    </row>
    <row r="47" spans="1:17" x14ac:dyDescent="0.3">
      <c r="A47" s="3">
        <v>46</v>
      </c>
      <c r="B47" s="3" t="s">
        <v>193</v>
      </c>
      <c r="C47" s="4">
        <v>44441</v>
      </c>
      <c r="D47" s="4">
        <v>44447</v>
      </c>
      <c r="E47" s="3" t="s">
        <v>37</v>
      </c>
      <c r="F47" s="3" t="s">
        <v>194</v>
      </c>
      <c r="G47" s="3" t="s">
        <v>39</v>
      </c>
      <c r="H47" s="3" t="s">
        <v>46</v>
      </c>
      <c r="I47" s="3" t="s">
        <v>78</v>
      </c>
      <c r="J47" s="3" t="s">
        <v>79</v>
      </c>
      <c r="K47" s="3" t="s">
        <v>33</v>
      </c>
      <c r="L47" s="3" t="s">
        <v>95</v>
      </c>
      <c r="M47" s="3" t="s">
        <v>96</v>
      </c>
      <c r="N47" s="3">
        <v>9</v>
      </c>
      <c r="O47" s="5">
        <v>0</v>
      </c>
      <c r="P47" s="6">
        <v>6001.58</v>
      </c>
      <c r="Q47" s="6">
        <v>-810.67</v>
      </c>
    </row>
    <row r="48" spans="1:17" x14ac:dyDescent="0.3">
      <c r="A48" s="3">
        <v>47</v>
      </c>
      <c r="B48" s="3" t="s">
        <v>195</v>
      </c>
      <c r="C48" s="4">
        <v>44816</v>
      </c>
      <c r="D48" s="4">
        <v>44817</v>
      </c>
      <c r="E48" s="3" t="s">
        <v>19</v>
      </c>
      <c r="F48" s="3" t="s">
        <v>196</v>
      </c>
      <c r="G48" s="3" t="s">
        <v>39</v>
      </c>
      <c r="H48" s="3" t="s">
        <v>22</v>
      </c>
      <c r="I48" s="3" t="s">
        <v>68</v>
      </c>
      <c r="J48" s="3" t="s">
        <v>69</v>
      </c>
      <c r="K48" s="3" t="s">
        <v>25</v>
      </c>
      <c r="L48" s="3" t="s">
        <v>106</v>
      </c>
      <c r="M48" s="3" t="s">
        <v>123</v>
      </c>
      <c r="N48" s="3">
        <v>12</v>
      </c>
      <c r="O48" s="5">
        <v>0.15</v>
      </c>
      <c r="P48" s="6">
        <v>745.22</v>
      </c>
      <c r="Q48" s="6">
        <v>-165.95</v>
      </c>
    </row>
    <row r="49" spans="1:17" x14ac:dyDescent="0.3">
      <c r="A49" s="3">
        <v>48</v>
      </c>
      <c r="B49" s="3" t="s">
        <v>197</v>
      </c>
      <c r="C49" s="4">
        <v>45177</v>
      </c>
      <c r="D49" s="4">
        <v>45181</v>
      </c>
      <c r="E49" s="3" t="s">
        <v>56</v>
      </c>
      <c r="F49" s="3" t="s">
        <v>198</v>
      </c>
      <c r="G49" s="3" t="s">
        <v>30</v>
      </c>
      <c r="H49" s="3" t="s">
        <v>90</v>
      </c>
      <c r="I49" s="3" t="s">
        <v>169</v>
      </c>
      <c r="J49" s="3" t="s">
        <v>170</v>
      </c>
      <c r="K49" s="3" t="s">
        <v>58</v>
      </c>
      <c r="L49" s="3" t="s">
        <v>199</v>
      </c>
      <c r="M49" s="3" t="s">
        <v>200</v>
      </c>
      <c r="N49" s="3">
        <v>6</v>
      </c>
      <c r="O49" s="5">
        <v>0</v>
      </c>
      <c r="P49" s="6">
        <v>699.91</v>
      </c>
      <c r="Q49" s="6">
        <v>-68.95</v>
      </c>
    </row>
    <row r="50" spans="1:17" x14ac:dyDescent="0.3">
      <c r="A50" s="3">
        <v>49</v>
      </c>
      <c r="B50" s="3" t="s">
        <v>201</v>
      </c>
      <c r="C50" s="4">
        <v>44502</v>
      </c>
      <c r="D50" s="4">
        <v>44509</v>
      </c>
      <c r="E50" s="3" t="s">
        <v>19</v>
      </c>
      <c r="F50" s="3" t="s">
        <v>130</v>
      </c>
      <c r="G50" s="3" t="s">
        <v>39</v>
      </c>
      <c r="H50" s="3" t="s">
        <v>22</v>
      </c>
      <c r="I50" s="3" t="s">
        <v>31</v>
      </c>
      <c r="J50" s="3" t="s">
        <v>32</v>
      </c>
      <c r="K50" s="3" t="s">
        <v>25</v>
      </c>
      <c r="L50" s="3" t="s">
        <v>116</v>
      </c>
      <c r="M50" s="3" t="s">
        <v>202</v>
      </c>
      <c r="N50" s="3">
        <v>10</v>
      </c>
      <c r="O50" s="5">
        <v>0</v>
      </c>
      <c r="P50" s="6">
        <v>1139.97</v>
      </c>
      <c r="Q50" s="6">
        <v>394.83</v>
      </c>
    </row>
    <row r="51" spans="1:17" x14ac:dyDescent="0.3">
      <c r="A51" s="3">
        <v>50</v>
      </c>
      <c r="B51" s="3" t="s">
        <v>203</v>
      </c>
      <c r="C51" s="4">
        <v>45075</v>
      </c>
      <c r="D51" s="4">
        <v>45078</v>
      </c>
      <c r="E51" s="3" t="s">
        <v>62</v>
      </c>
      <c r="F51" s="3" t="s">
        <v>204</v>
      </c>
      <c r="G51" s="3" t="s">
        <v>39</v>
      </c>
      <c r="H51" s="3" t="s">
        <v>90</v>
      </c>
      <c r="I51" s="3" t="s">
        <v>110</v>
      </c>
      <c r="J51" s="3" t="s">
        <v>111</v>
      </c>
      <c r="K51" s="3" t="s">
        <v>58</v>
      </c>
      <c r="L51" s="3" t="s">
        <v>199</v>
      </c>
      <c r="M51" s="3" t="s">
        <v>205</v>
      </c>
      <c r="N51" s="3">
        <v>10</v>
      </c>
      <c r="O51" s="5">
        <v>0</v>
      </c>
      <c r="P51" s="6">
        <v>3218.83</v>
      </c>
      <c r="Q51" s="6">
        <v>1025.3699999999999</v>
      </c>
    </row>
    <row r="52" spans="1:17" x14ac:dyDescent="0.3">
      <c r="A52" s="3">
        <v>51</v>
      </c>
      <c r="B52" s="3" t="s">
        <v>206</v>
      </c>
      <c r="C52" s="4">
        <v>44202</v>
      </c>
      <c r="D52" s="4">
        <v>44206</v>
      </c>
      <c r="E52" s="3" t="s">
        <v>56</v>
      </c>
      <c r="F52" s="3" t="s">
        <v>207</v>
      </c>
      <c r="G52" s="3" t="s">
        <v>39</v>
      </c>
      <c r="H52" s="3" t="s">
        <v>40</v>
      </c>
      <c r="I52" s="3" t="s">
        <v>114</v>
      </c>
      <c r="J52" s="3" t="s">
        <v>115</v>
      </c>
      <c r="K52" s="3" t="s">
        <v>33</v>
      </c>
      <c r="L52" s="3" t="s">
        <v>49</v>
      </c>
      <c r="M52" s="3" t="s">
        <v>208</v>
      </c>
      <c r="N52" s="3">
        <v>8</v>
      </c>
      <c r="O52" s="5">
        <v>0.4</v>
      </c>
      <c r="P52" s="6">
        <v>3451.89</v>
      </c>
      <c r="Q52" s="6">
        <v>-259.74</v>
      </c>
    </row>
    <row r="53" spans="1:17" x14ac:dyDescent="0.3">
      <c r="A53" s="3">
        <v>52</v>
      </c>
      <c r="B53" s="3" t="s">
        <v>209</v>
      </c>
      <c r="C53" s="4">
        <v>44432</v>
      </c>
      <c r="D53" s="4">
        <v>44437</v>
      </c>
      <c r="E53" s="3" t="s">
        <v>37</v>
      </c>
      <c r="F53" s="3" t="s">
        <v>210</v>
      </c>
      <c r="G53" s="3" t="s">
        <v>30</v>
      </c>
      <c r="H53" s="3" t="s">
        <v>22</v>
      </c>
      <c r="I53" s="3" t="s">
        <v>68</v>
      </c>
      <c r="J53" s="3" t="s">
        <v>69</v>
      </c>
      <c r="K53" s="3" t="s">
        <v>58</v>
      </c>
      <c r="L53" s="3" t="s">
        <v>86</v>
      </c>
      <c r="M53" s="3" t="s">
        <v>211</v>
      </c>
      <c r="N53" s="3">
        <v>4</v>
      </c>
      <c r="O53" s="5">
        <v>0.15</v>
      </c>
      <c r="P53" s="6">
        <v>1277.3599999999999</v>
      </c>
      <c r="Q53" s="6">
        <v>314.2</v>
      </c>
    </row>
    <row r="54" spans="1:17" x14ac:dyDescent="0.3">
      <c r="A54" s="3">
        <v>53</v>
      </c>
      <c r="B54" s="3" t="s">
        <v>212</v>
      </c>
      <c r="C54" s="4">
        <v>45021</v>
      </c>
      <c r="D54" s="4">
        <v>45024</v>
      </c>
      <c r="E54" s="3" t="s">
        <v>37</v>
      </c>
      <c r="F54" s="3" t="s">
        <v>29</v>
      </c>
      <c r="G54" s="3" t="s">
        <v>39</v>
      </c>
      <c r="H54" s="3" t="s">
        <v>90</v>
      </c>
      <c r="I54" s="3" t="s">
        <v>169</v>
      </c>
      <c r="J54" s="3" t="s">
        <v>170</v>
      </c>
      <c r="K54" s="3" t="s">
        <v>25</v>
      </c>
      <c r="L54" s="3" t="s">
        <v>106</v>
      </c>
      <c r="M54" s="3" t="s">
        <v>136</v>
      </c>
      <c r="N54" s="3">
        <v>9</v>
      </c>
      <c r="O54" s="5">
        <v>0.4</v>
      </c>
      <c r="P54" s="6">
        <v>520.49</v>
      </c>
      <c r="Q54" s="6">
        <v>-105</v>
      </c>
    </row>
    <row r="55" spans="1:17" x14ac:dyDescent="0.3">
      <c r="A55" s="3">
        <v>54</v>
      </c>
      <c r="B55" s="3" t="s">
        <v>213</v>
      </c>
      <c r="C55" s="4">
        <v>45399</v>
      </c>
      <c r="D55" s="4">
        <v>45400</v>
      </c>
      <c r="E55" s="3" t="s">
        <v>56</v>
      </c>
      <c r="F55" s="3" t="s">
        <v>214</v>
      </c>
      <c r="G55" s="3" t="s">
        <v>39</v>
      </c>
      <c r="H55" s="3" t="s">
        <v>22</v>
      </c>
      <c r="I55" s="3" t="s">
        <v>23</v>
      </c>
      <c r="J55" s="3" t="s">
        <v>24</v>
      </c>
      <c r="K55" s="3" t="s">
        <v>25</v>
      </c>
      <c r="L55" s="3" t="s">
        <v>53</v>
      </c>
      <c r="M55" s="3" t="s">
        <v>171</v>
      </c>
      <c r="N55" s="3">
        <v>13</v>
      </c>
      <c r="O55" s="5">
        <v>0.15</v>
      </c>
      <c r="P55" s="6">
        <v>1009.7</v>
      </c>
      <c r="Q55" s="6">
        <v>96.68</v>
      </c>
    </row>
    <row r="56" spans="1:17" x14ac:dyDescent="0.3">
      <c r="A56" s="3">
        <v>55</v>
      </c>
      <c r="B56" s="3" t="s">
        <v>215</v>
      </c>
      <c r="C56" s="4">
        <v>44383</v>
      </c>
      <c r="D56" s="4">
        <v>44387</v>
      </c>
      <c r="E56" s="3" t="s">
        <v>56</v>
      </c>
      <c r="F56" s="3" t="s">
        <v>216</v>
      </c>
      <c r="G56" s="3" t="s">
        <v>39</v>
      </c>
      <c r="H56" s="3" t="s">
        <v>46</v>
      </c>
      <c r="I56" s="3" t="s">
        <v>78</v>
      </c>
      <c r="J56" s="3" t="s">
        <v>79</v>
      </c>
      <c r="K56" s="3" t="s">
        <v>58</v>
      </c>
      <c r="L56" s="3" t="s">
        <v>217</v>
      </c>
      <c r="M56" s="3" t="s">
        <v>218</v>
      </c>
      <c r="N56" s="3">
        <v>6</v>
      </c>
      <c r="O56" s="5">
        <v>0.2</v>
      </c>
      <c r="P56" s="6">
        <v>1251.6500000000001</v>
      </c>
      <c r="Q56" s="6">
        <v>190.35</v>
      </c>
    </row>
    <row r="57" spans="1:17" x14ac:dyDescent="0.3">
      <c r="A57" s="3">
        <v>56</v>
      </c>
      <c r="B57" s="3" t="s">
        <v>219</v>
      </c>
      <c r="C57" s="4">
        <v>44377</v>
      </c>
      <c r="D57" s="4">
        <v>44380</v>
      </c>
      <c r="E57" s="3" t="s">
        <v>62</v>
      </c>
      <c r="F57" s="3" t="s">
        <v>157</v>
      </c>
      <c r="G57" s="3" t="s">
        <v>30</v>
      </c>
      <c r="H57" s="3" t="s">
        <v>46</v>
      </c>
      <c r="I57" s="3" t="s">
        <v>146</v>
      </c>
      <c r="J57" s="3" t="s">
        <v>147</v>
      </c>
      <c r="K57" s="3" t="s">
        <v>58</v>
      </c>
      <c r="L57" s="3" t="s">
        <v>59</v>
      </c>
      <c r="M57" s="3" t="s">
        <v>220</v>
      </c>
      <c r="N57" s="3">
        <v>5</v>
      </c>
      <c r="O57" s="5">
        <v>0.3</v>
      </c>
      <c r="P57" s="6">
        <v>827.82</v>
      </c>
      <c r="Q57" s="6">
        <v>222.64</v>
      </c>
    </row>
    <row r="58" spans="1:17" x14ac:dyDescent="0.3">
      <c r="A58" s="3">
        <v>57</v>
      </c>
      <c r="B58" s="3" t="s">
        <v>221</v>
      </c>
      <c r="C58" s="4">
        <v>45102</v>
      </c>
      <c r="D58" s="4">
        <v>45109</v>
      </c>
      <c r="E58" s="3" t="s">
        <v>19</v>
      </c>
      <c r="F58" s="3" t="s">
        <v>222</v>
      </c>
      <c r="G58" s="3" t="s">
        <v>21</v>
      </c>
      <c r="H58" s="3" t="s">
        <v>40</v>
      </c>
      <c r="I58" s="3" t="s">
        <v>223</v>
      </c>
      <c r="J58" s="3" t="s">
        <v>224</v>
      </c>
      <c r="K58" s="3" t="s">
        <v>25</v>
      </c>
      <c r="L58" s="3" t="s">
        <v>74</v>
      </c>
      <c r="M58" s="3" t="s">
        <v>101</v>
      </c>
      <c r="N58" s="3">
        <v>1</v>
      </c>
      <c r="O58" s="5">
        <v>0</v>
      </c>
      <c r="P58" s="6">
        <v>26.02</v>
      </c>
      <c r="Q58" s="6">
        <v>7.98</v>
      </c>
    </row>
    <row r="59" spans="1:17" x14ac:dyDescent="0.3">
      <c r="A59" s="3">
        <v>58</v>
      </c>
      <c r="B59" s="3" t="s">
        <v>225</v>
      </c>
      <c r="C59" s="4">
        <v>44387</v>
      </c>
      <c r="D59" s="4">
        <v>44389</v>
      </c>
      <c r="E59" s="3" t="s">
        <v>37</v>
      </c>
      <c r="F59" s="3" t="s">
        <v>226</v>
      </c>
      <c r="G59" s="3" t="s">
        <v>39</v>
      </c>
      <c r="H59" s="3" t="s">
        <v>40</v>
      </c>
      <c r="I59" s="3" t="s">
        <v>41</v>
      </c>
      <c r="J59" s="3" t="s">
        <v>42</v>
      </c>
      <c r="K59" s="3" t="s">
        <v>25</v>
      </c>
      <c r="L59" s="3" t="s">
        <v>80</v>
      </c>
      <c r="M59" s="3" t="s">
        <v>150</v>
      </c>
      <c r="N59" s="3">
        <v>14</v>
      </c>
      <c r="O59" s="5">
        <v>0.4</v>
      </c>
      <c r="P59" s="6">
        <v>1351.82</v>
      </c>
      <c r="Q59" s="6">
        <v>430.2</v>
      </c>
    </row>
    <row r="60" spans="1:17" x14ac:dyDescent="0.3">
      <c r="A60" s="3">
        <v>59</v>
      </c>
      <c r="B60" s="3" t="s">
        <v>227</v>
      </c>
      <c r="C60" s="4">
        <v>45325</v>
      </c>
      <c r="D60" s="4">
        <v>45327</v>
      </c>
      <c r="E60" s="3" t="s">
        <v>37</v>
      </c>
      <c r="F60" s="3" t="s">
        <v>29</v>
      </c>
      <c r="G60" s="3" t="s">
        <v>39</v>
      </c>
      <c r="H60" s="3" t="s">
        <v>90</v>
      </c>
      <c r="I60" s="3" t="s">
        <v>110</v>
      </c>
      <c r="J60" s="3" t="s">
        <v>111</v>
      </c>
      <c r="K60" s="3" t="s">
        <v>58</v>
      </c>
      <c r="L60" s="3" t="s">
        <v>86</v>
      </c>
      <c r="M60" s="3" t="s">
        <v>211</v>
      </c>
      <c r="N60" s="3">
        <v>7</v>
      </c>
      <c r="O60" s="5">
        <v>0</v>
      </c>
      <c r="P60" s="6">
        <v>837.11</v>
      </c>
      <c r="Q60" s="6">
        <v>224.69</v>
      </c>
    </row>
    <row r="61" spans="1:17" x14ac:dyDescent="0.3">
      <c r="A61" s="3">
        <v>60</v>
      </c>
      <c r="B61" s="3" t="s">
        <v>228</v>
      </c>
      <c r="C61" s="4">
        <v>44501</v>
      </c>
      <c r="D61" s="4">
        <v>44505</v>
      </c>
      <c r="E61" s="3" t="s">
        <v>19</v>
      </c>
      <c r="F61" s="3" t="s">
        <v>229</v>
      </c>
      <c r="G61" s="3" t="s">
        <v>21</v>
      </c>
      <c r="H61" s="3" t="s">
        <v>22</v>
      </c>
      <c r="I61" s="3" t="s">
        <v>72</v>
      </c>
      <c r="J61" s="3" t="s">
        <v>73</v>
      </c>
      <c r="K61" s="3" t="s">
        <v>25</v>
      </c>
      <c r="L61" s="3" t="s">
        <v>80</v>
      </c>
      <c r="M61" s="3" t="s">
        <v>150</v>
      </c>
      <c r="N61" s="3">
        <v>9</v>
      </c>
      <c r="O61" s="5">
        <v>0.2</v>
      </c>
      <c r="P61" s="6">
        <v>500.43</v>
      </c>
      <c r="Q61" s="6">
        <v>40.61</v>
      </c>
    </row>
    <row r="62" spans="1:17" x14ac:dyDescent="0.3">
      <c r="A62" s="3">
        <v>61</v>
      </c>
      <c r="B62" s="3" t="s">
        <v>230</v>
      </c>
      <c r="C62" s="4">
        <v>44848</v>
      </c>
      <c r="D62" s="4">
        <v>44854</v>
      </c>
      <c r="E62" s="3" t="s">
        <v>37</v>
      </c>
      <c r="F62" s="3" t="s">
        <v>231</v>
      </c>
      <c r="G62" s="3" t="s">
        <v>21</v>
      </c>
      <c r="H62" s="3" t="s">
        <v>90</v>
      </c>
      <c r="I62" s="3" t="s">
        <v>104</v>
      </c>
      <c r="J62" s="3" t="s">
        <v>105</v>
      </c>
      <c r="K62" s="3" t="s">
        <v>58</v>
      </c>
      <c r="L62" s="3" t="s">
        <v>217</v>
      </c>
      <c r="M62" s="3" t="s">
        <v>232</v>
      </c>
      <c r="N62" s="3">
        <v>8</v>
      </c>
      <c r="O62" s="5">
        <v>0.3</v>
      </c>
      <c r="P62" s="6">
        <v>2631.41</v>
      </c>
      <c r="Q62" s="6">
        <v>-48.29</v>
      </c>
    </row>
    <row r="63" spans="1:17" x14ac:dyDescent="0.3">
      <c r="A63" s="3">
        <v>62</v>
      </c>
      <c r="B63" s="3" t="s">
        <v>233</v>
      </c>
      <c r="C63" s="4">
        <v>44492</v>
      </c>
      <c r="D63" s="4">
        <v>44496</v>
      </c>
      <c r="E63" s="3" t="s">
        <v>56</v>
      </c>
      <c r="F63" s="3" t="s">
        <v>234</v>
      </c>
      <c r="G63" s="3" t="s">
        <v>39</v>
      </c>
      <c r="H63" s="3" t="s">
        <v>22</v>
      </c>
      <c r="I63" s="3" t="s">
        <v>84</v>
      </c>
      <c r="J63" s="3" t="s">
        <v>85</v>
      </c>
      <c r="K63" s="3" t="s">
        <v>33</v>
      </c>
      <c r="L63" s="3" t="s">
        <v>34</v>
      </c>
      <c r="M63" s="3" t="s">
        <v>43</v>
      </c>
      <c r="N63" s="3">
        <v>14</v>
      </c>
      <c r="O63" s="5">
        <v>0</v>
      </c>
      <c r="P63" s="6">
        <v>6537.68</v>
      </c>
      <c r="Q63" s="6">
        <v>-1340.9</v>
      </c>
    </row>
    <row r="64" spans="1:17" x14ac:dyDescent="0.3">
      <c r="A64" s="3">
        <v>63</v>
      </c>
      <c r="B64" s="3" t="s">
        <v>235</v>
      </c>
      <c r="C64" s="4">
        <v>45480</v>
      </c>
      <c r="D64" s="4">
        <v>45486</v>
      </c>
      <c r="E64" s="3" t="s">
        <v>62</v>
      </c>
      <c r="F64" s="3" t="s">
        <v>236</v>
      </c>
      <c r="G64" s="3" t="s">
        <v>39</v>
      </c>
      <c r="H64" s="3" t="s">
        <v>22</v>
      </c>
      <c r="I64" s="3" t="s">
        <v>72</v>
      </c>
      <c r="J64" s="3" t="s">
        <v>73</v>
      </c>
      <c r="K64" s="3" t="s">
        <v>58</v>
      </c>
      <c r="L64" s="3" t="s">
        <v>217</v>
      </c>
      <c r="M64" s="3" t="s">
        <v>218</v>
      </c>
      <c r="N64" s="3">
        <v>13</v>
      </c>
      <c r="O64" s="5">
        <v>0</v>
      </c>
      <c r="P64" s="6">
        <v>3371.36</v>
      </c>
      <c r="Q64" s="6">
        <v>406.17</v>
      </c>
    </row>
    <row r="65" spans="1:17" x14ac:dyDescent="0.3">
      <c r="A65" s="3">
        <v>64</v>
      </c>
      <c r="B65" s="3" t="s">
        <v>237</v>
      </c>
      <c r="C65" s="4">
        <v>45105</v>
      </c>
      <c r="D65" s="4">
        <v>45107</v>
      </c>
      <c r="E65" s="3" t="s">
        <v>56</v>
      </c>
      <c r="F65" s="3" t="s">
        <v>132</v>
      </c>
      <c r="G65" s="3" t="s">
        <v>30</v>
      </c>
      <c r="H65" s="3" t="s">
        <v>90</v>
      </c>
      <c r="I65" s="3" t="s">
        <v>169</v>
      </c>
      <c r="J65" s="3" t="s">
        <v>170</v>
      </c>
      <c r="K65" s="3" t="s">
        <v>25</v>
      </c>
      <c r="L65" s="3" t="s">
        <v>53</v>
      </c>
      <c r="M65" s="3" t="s">
        <v>139</v>
      </c>
      <c r="N65" s="3">
        <v>12</v>
      </c>
      <c r="O65" s="5">
        <v>0</v>
      </c>
      <c r="P65" s="6">
        <v>448.04</v>
      </c>
      <c r="Q65" s="6">
        <v>-99.65</v>
      </c>
    </row>
    <row r="66" spans="1:17" x14ac:dyDescent="0.3">
      <c r="A66" s="3">
        <v>65</v>
      </c>
      <c r="B66" s="3" t="s">
        <v>238</v>
      </c>
      <c r="C66" s="4">
        <v>44545</v>
      </c>
      <c r="D66" s="4">
        <v>44547</v>
      </c>
      <c r="E66" s="3" t="s">
        <v>19</v>
      </c>
      <c r="F66" s="3" t="s">
        <v>239</v>
      </c>
      <c r="G66" s="3" t="s">
        <v>21</v>
      </c>
      <c r="H66" s="3" t="s">
        <v>40</v>
      </c>
      <c r="I66" s="3" t="s">
        <v>114</v>
      </c>
      <c r="J66" s="3" t="s">
        <v>115</v>
      </c>
      <c r="K66" s="3" t="s">
        <v>25</v>
      </c>
      <c r="L66" s="3" t="s">
        <v>80</v>
      </c>
      <c r="M66" s="3" t="s">
        <v>81</v>
      </c>
      <c r="N66" s="3">
        <v>2</v>
      </c>
      <c r="O66" s="5">
        <v>0.3</v>
      </c>
      <c r="P66" s="6">
        <v>134.53</v>
      </c>
      <c r="Q66" s="6">
        <v>16.39</v>
      </c>
    </row>
    <row r="67" spans="1:17" x14ac:dyDescent="0.3">
      <c r="A67" s="3">
        <v>66</v>
      </c>
      <c r="B67" s="3" t="s">
        <v>240</v>
      </c>
      <c r="C67" s="4">
        <v>45149</v>
      </c>
      <c r="D67" s="4">
        <v>45152</v>
      </c>
      <c r="E67" s="3" t="s">
        <v>56</v>
      </c>
      <c r="F67" s="3" t="s">
        <v>241</v>
      </c>
      <c r="G67" s="3" t="s">
        <v>39</v>
      </c>
      <c r="H67" s="3" t="s">
        <v>90</v>
      </c>
      <c r="I67" s="3" t="s">
        <v>99</v>
      </c>
      <c r="J67" s="3" t="s">
        <v>100</v>
      </c>
      <c r="K67" s="3" t="s">
        <v>25</v>
      </c>
      <c r="L67" s="3" t="s">
        <v>53</v>
      </c>
      <c r="M67" s="3" t="s">
        <v>139</v>
      </c>
      <c r="N67" s="3">
        <v>11</v>
      </c>
      <c r="O67" s="5">
        <v>0</v>
      </c>
      <c r="P67" s="6">
        <v>731.48</v>
      </c>
      <c r="Q67" s="6">
        <v>11</v>
      </c>
    </row>
    <row r="68" spans="1:17" x14ac:dyDescent="0.3">
      <c r="A68" s="3">
        <v>67</v>
      </c>
      <c r="B68" s="3" t="s">
        <v>242</v>
      </c>
      <c r="C68" s="4">
        <v>45186</v>
      </c>
      <c r="D68" s="4">
        <v>45187</v>
      </c>
      <c r="E68" s="3" t="s">
        <v>62</v>
      </c>
      <c r="F68" s="3" t="s">
        <v>243</v>
      </c>
      <c r="G68" s="3" t="s">
        <v>30</v>
      </c>
      <c r="H68" s="3" t="s">
        <v>46</v>
      </c>
      <c r="I68" s="3" t="s">
        <v>146</v>
      </c>
      <c r="J68" s="3" t="s">
        <v>147</v>
      </c>
      <c r="K68" s="3" t="s">
        <v>58</v>
      </c>
      <c r="L68" s="3" t="s">
        <v>86</v>
      </c>
      <c r="M68" s="3" t="s">
        <v>211</v>
      </c>
      <c r="N68" s="3">
        <v>4</v>
      </c>
      <c r="O68" s="5">
        <v>0.2</v>
      </c>
      <c r="P68" s="6">
        <v>786.75</v>
      </c>
      <c r="Q68" s="6">
        <v>74.650000000000006</v>
      </c>
    </row>
    <row r="69" spans="1:17" x14ac:dyDescent="0.3">
      <c r="A69" s="3">
        <v>68</v>
      </c>
      <c r="B69" s="3" t="s">
        <v>244</v>
      </c>
      <c r="C69" s="4">
        <v>45440</v>
      </c>
      <c r="D69" s="4">
        <v>45447</v>
      </c>
      <c r="E69" s="3" t="s">
        <v>56</v>
      </c>
      <c r="F69" s="3" t="s">
        <v>245</v>
      </c>
      <c r="G69" s="3" t="s">
        <v>30</v>
      </c>
      <c r="H69" s="3" t="s">
        <v>22</v>
      </c>
      <c r="I69" s="3" t="s">
        <v>31</v>
      </c>
      <c r="J69" s="3" t="s">
        <v>32</v>
      </c>
      <c r="K69" s="3" t="s">
        <v>25</v>
      </c>
      <c r="L69" s="3" t="s">
        <v>106</v>
      </c>
      <c r="M69" s="3" t="s">
        <v>123</v>
      </c>
      <c r="N69" s="3">
        <v>6</v>
      </c>
      <c r="O69" s="5">
        <v>0.1</v>
      </c>
      <c r="P69" s="6">
        <v>162.04</v>
      </c>
      <c r="Q69" s="6">
        <v>19.86</v>
      </c>
    </row>
    <row r="70" spans="1:17" x14ac:dyDescent="0.3">
      <c r="A70" s="3">
        <v>69</v>
      </c>
      <c r="B70" s="3" t="s">
        <v>246</v>
      </c>
      <c r="C70" s="4">
        <v>44801</v>
      </c>
      <c r="D70" s="4">
        <v>44804</v>
      </c>
      <c r="E70" s="3" t="s">
        <v>19</v>
      </c>
      <c r="F70" s="3" t="s">
        <v>247</v>
      </c>
      <c r="G70" s="3" t="s">
        <v>30</v>
      </c>
      <c r="H70" s="3" t="s">
        <v>22</v>
      </c>
      <c r="I70" s="3" t="s">
        <v>31</v>
      </c>
      <c r="J70" s="3" t="s">
        <v>32</v>
      </c>
      <c r="K70" s="3" t="s">
        <v>25</v>
      </c>
      <c r="L70" s="3" t="s">
        <v>26</v>
      </c>
      <c r="M70" s="3" t="s">
        <v>27</v>
      </c>
      <c r="N70" s="3">
        <v>12</v>
      </c>
      <c r="O70" s="5">
        <v>0.1</v>
      </c>
      <c r="P70" s="6">
        <v>593.98</v>
      </c>
      <c r="Q70" s="6">
        <v>-101.39</v>
      </c>
    </row>
    <row r="71" spans="1:17" x14ac:dyDescent="0.3">
      <c r="A71" s="3">
        <v>70</v>
      </c>
      <c r="B71" s="3" t="s">
        <v>248</v>
      </c>
      <c r="C71" s="4">
        <v>44890</v>
      </c>
      <c r="D71" s="4">
        <v>44897</v>
      </c>
      <c r="E71" s="3" t="s">
        <v>62</v>
      </c>
      <c r="F71" s="3" t="s">
        <v>145</v>
      </c>
      <c r="G71" s="3" t="s">
        <v>30</v>
      </c>
      <c r="H71" s="3" t="s">
        <v>46</v>
      </c>
      <c r="I71" s="3" t="s">
        <v>146</v>
      </c>
      <c r="J71" s="3" t="s">
        <v>147</v>
      </c>
      <c r="K71" s="3" t="s">
        <v>58</v>
      </c>
      <c r="L71" s="3" t="s">
        <v>199</v>
      </c>
      <c r="M71" s="3" t="s">
        <v>205</v>
      </c>
      <c r="N71" s="3">
        <v>2</v>
      </c>
      <c r="O71" s="5">
        <v>0</v>
      </c>
      <c r="P71" s="6">
        <v>500.23</v>
      </c>
      <c r="Q71" s="6">
        <v>-82.81</v>
      </c>
    </row>
    <row r="72" spans="1:17" x14ac:dyDescent="0.3">
      <c r="A72" s="3">
        <v>71</v>
      </c>
      <c r="B72" s="3" t="s">
        <v>249</v>
      </c>
      <c r="C72" s="4">
        <v>44951</v>
      </c>
      <c r="D72" s="4">
        <v>44957</v>
      </c>
      <c r="E72" s="3" t="s">
        <v>62</v>
      </c>
      <c r="F72" s="3" t="s">
        <v>98</v>
      </c>
      <c r="G72" s="3" t="s">
        <v>30</v>
      </c>
      <c r="H72" s="3" t="s">
        <v>90</v>
      </c>
      <c r="I72" s="3" t="s">
        <v>169</v>
      </c>
      <c r="J72" s="3" t="s">
        <v>170</v>
      </c>
      <c r="K72" s="3" t="s">
        <v>25</v>
      </c>
      <c r="L72" s="3" t="s">
        <v>116</v>
      </c>
      <c r="M72" s="3" t="s">
        <v>166</v>
      </c>
      <c r="N72" s="3">
        <v>12</v>
      </c>
      <c r="O72" s="5">
        <v>0.3</v>
      </c>
      <c r="P72" s="6">
        <v>888.19</v>
      </c>
      <c r="Q72" s="6">
        <v>216.23</v>
      </c>
    </row>
    <row r="73" spans="1:17" x14ac:dyDescent="0.3">
      <c r="A73" s="3">
        <v>72</v>
      </c>
      <c r="B73" s="3" t="s">
        <v>250</v>
      </c>
      <c r="C73" s="4">
        <v>45147</v>
      </c>
      <c r="D73" s="4">
        <v>45153</v>
      </c>
      <c r="E73" s="3" t="s">
        <v>62</v>
      </c>
      <c r="F73" s="3" t="s">
        <v>251</v>
      </c>
      <c r="G73" s="3" t="s">
        <v>21</v>
      </c>
      <c r="H73" s="3" t="s">
        <v>46</v>
      </c>
      <c r="I73" s="3" t="s">
        <v>47</v>
      </c>
      <c r="J73" s="3" t="s">
        <v>48</v>
      </c>
      <c r="K73" s="3" t="s">
        <v>25</v>
      </c>
      <c r="L73" s="3" t="s">
        <v>116</v>
      </c>
      <c r="M73" s="3" t="s">
        <v>117</v>
      </c>
      <c r="N73" s="3">
        <v>5</v>
      </c>
      <c r="O73" s="5">
        <v>0</v>
      </c>
      <c r="P73" s="6">
        <v>393.05</v>
      </c>
      <c r="Q73" s="6">
        <v>-65.3</v>
      </c>
    </row>
    <row r="74" spans="1:17" x14ac:dyDescent="0.3">
      <c r="A74" s="3">
        <v>73</v>
      </c>
      <c r="B74" s="3" t="s">
        <v>252</v>
      </c>
      <c r="C74" s="4">
        <v>45570</v>
      </c>
      <c r="D74" s="4">
        <v>45576</v>
      </c>
      <c r="E74" s="3" t="s">
        <v>56</v>
      </c>
      <c r="F74" s="3" t="s">
        <v>253</v>
      </c>
      <c r="G74" s="3" t="s">
        <v>30</v>
      </c>
      <c r="H74" s="3" t="s">
        <v>40</v>
      </c>
      <c r="I74" s="3" t="s">
        <v>223</v>
      </c>
      <c r="J74" s="3" t="s">
        <v>224</v>
      </c>
      <c r="K74" s="3" t="s">
        <v>33</v>
      </c>
      <c r="L74" s="3" t="s">
        <v>34</v>
      </c>
      <c r="M74" s="3" t="s">
        <v>254</v>
      </c>
      <c r="N74" s="3">
        <v>12</v>
      </c>
      <c r="O74" s="5">
        <v>0.3</v>
      </c>
      <c r="P74" s="6">
        <v>7245.77</v>
      </c>
      <c r="Q74" s="6">
        <v>742</v>
      </c>
    </row>
    <row r="75" spans="1:17" x14ac:dyDescent="0.3">
      <c r="A75" s="3">
        <v>74</v>
      </c>
      <c r="B75" s="3" t="s">
        <v>255</v>
      </c>
      <c r="C75" s="4">
        <v>45107</v>
      </c>
      <c r="D75" s="4">
        <v>45109</v>
      </c>
      <c r="E75" s="3" t="s">
        <v>19</v>
      </c>
      <c r="F75" s="3" t="s">
        <v>256</v>
      </c>
      <c r="G75" s="3" t="s">
        <v>30</v>
      </c>
      <c r="H75" s="3" t="s">
        <v>46</v>
      </c>
      <c r="I75" s="3" t="s">
        <v>257</v>
      </c>
      <c r="J75" s="3" t="s">
        <v>258</v>
      </c>
      <c r="K75" s="3" t="s">
        <v>25</v>
      </c>
      <c r="L75" s="3" t="s">
        <v>26</v>
      </c>
      <c r="M75" s="3" t="s">
        <v>259</v>
      </c>
      <c r="N75" s="3">
        <v>14</v>
      </c>
      <c r="O75" s="5">
        <v>0.2</v>
      </c>
      <c r="P75" s="6">
        <v>589.53</v>
      </c>
      <c r="Q75" s="6">
        <v>45.2</v>
      </c>
    </row>
    <row r="76" spans="1:17" x14ac:dyDescent="0.3">
      <c r="A76" s="3">
        <v>75</v>
      </c>
      <c r="B76" s="3" t="s">
        <v>260</v>
      </c>
      <c r="C76" s="4">
        <v>44300</v>
      </c>
      <c r="D76" s="4">
        <v>44307</v>
      </c>
      <c r="E76" s="3" t="s">
        <v>19</v>
      </c>
      <c r="F76" s="3" t="s">
        <v>261</v>
      </c>
      <c r="G76" s="3" t="s">
        <v>21</v>
      </c>
      <c r="H76" s="3" t="s">
        <v>22</v>
      </c>
      <c r="I76" s="3" t="s">
        <v>84</v>
      </c>
      <c r="J76" s="3" t="s">
        <v>85</v>
      </c>
      <c r="K76" s="3" t="s">
        <v>33</v>
      </c>
      <c r="L76" s="3" t="s">
        <v>95</v>
      </c>
      <c r="M76" s="3" t="s">
        <v>262</v>
      </c>
      <c r="N76" s="3">
        <v>6</v>
      </c>
      <c r="O76" s="5">
        <v>0</v>
      </c>
      <c r="P76" s="6">
        <v>1136.45</v>
      </c>
      <c r="Q76" s="6">
        <v>252.5</v>
      </c>
    </row>
    <row r="77" spans="1:17" x14ac:dyDescent="0.3">
      <c r="A77" s="3">
        <v>76</v>
      </c>
      <c r="B77" s="3" t="s">
        <v>263</v>
      </c>
      <c r="C77" s="4">
        <v>44493</v>
      </c>
      <c r="D77" s="4">
        <v>44495</v>
      </c>
      <c r="E77" s="3" t="s">
        <v>19</v>
      </c>
      <c r="F77" s="3" t="s">
        <v>264</v>
      </c>
      <c r="G77" s="3" t="s">
        <v>30</v>
      </c>
      <c r="H77" s="3" t="s">
        <v>40</v>
      </c>
      <c r="I77" s="3" t="s">
        <v>41</v>
      </c>
      <c r="J77" s="3" t="s">
        <v>42</v>
      </c>
      <c r="K77" s="3" t="s">
        <v>58</v>
      </c>
      <c r="L77" s="3" t="s">
        <v>59</v>
      </c>
      <c r="M77" s="3" t="s">
        <v>220</v>
      </c>
      <c r="N77" s="3">
        <v>9</v>
      </c>
      <c r="O77" s="5">
        <v>0</v>
      </c>
      <c r="P77" s="6">
        <v>1330.27</v>
      </c>
      <c r="Q77" s="6">
        <v>-244.83</v>
      </c>
    </row>
    <row r="78" spans="1:17" x14ac:dyDescent="0.3">
      <c r="A78" s="3">
        <v>77</v>
      </c>
      <c r="B78" s="3" t="s">
        <v>265</v>
      </c>
      <c r="C78" s="4">
        <v>45059</v>
      </c>
      <c r="D78" s="4">
        <v>45064</v>
      </c>
      <c r="E78" s="3" t="s">
        <v>56</v>
      </c>
      <c r="F78" s="3" t="s">
        <v>266</v>
      </c>
      <c r="G78" s="3" t="s">
        <v>21</v>
      </c>
      <c r="H78" s="3" t="s">
        <v>46</v>
      </c>
      <c r="I78" s="3" t="s">
        <v>257</v>
      </c>
      <c r="J78" s="3" t="s">
        <v>258</v>
      </c>
      <c r="K78" s="3" t="s">
        <v>33</v>
      </c>
      <c r="L78" s="3" t="s">
        <v>49</v>
      </c>
      <c r="M78" s="3" t="s">
        <v>208</v>
      </c>
      <c r="N78" s="3">
        <v>2</v>
      </c>
      <c r="O78" s="5">
        <v>0.4</v>
      </c>
      <c r="P78" s="6">
        <v>929.85</v>
      </c>
      <c r="Q78" s="6">
        <v>17.63</v>
      </c>
    </row>
    <row r="79" spans="1:17" x14ac:dyDescent="0.3">
      <c r="A79" s="3">
        <v>78</v>
      </c>
      <c r="B79" s="3" t="s">
        <v>267</v>
      </c>
      <c r="C79" s="4">
        <v>45514</v>
      </c>
      <c r="D79" s="4">
        <v>45515</v>
      </c>
      <c r="E79" s="3" t="s">
        <v>62</v>
      </c>
      <c r="F79" s="3" t="s">
        <v>268</v>
      </c>
      <c r="G79" s="3" t="s">
        <v>21</v>
      </c>
      <c r="H79" s="3" t="s">
        <v>40</v>
      </c>
      <c r="I79" s="3" t="s">
        <v>223</v>
      </c>
      <c r="J79" s="3" t="s">
        <v>224</v>
      </c>
      <c r="K79" s="3" t="s">
        <v>33</v>
      </c>
      <c r="L79" s="3" t="s">
        <v>64</v>
      </c>
      <c r="M79" s="3" t="s">
        <v>269</v>
      </c>
      <c r="N79" s="3">
        <v>1</v>
      </c>
      <c r="O79" s="5">
        <v>0.3</v>
      </c>
      <c r="P79" s="6">
        <v>636.13</v>
      </c>
      <c r="Q79" s="6">
        <v>3.67</v>
      </c>
    </row>
    <row r="80" spans="1:17" x14ac:dyDescent="0.3">
      <c r="A80" s="3">
        <v>79</v>
      </c>
      <c r="B80" s="3" t="s">
        <v>270</v>
      </c>
      <c r="C80" s="4">
        <v>45475</v>
      </c>
      <c r="D80" s="4">
        <v>45481</v>
      </c>
      <c r="E80" s="3" t="s">
        <v>56</v>
      </c>
      <c r="F80" s="3" t="s">
        <v>271</v>
      </c>
      <c r="G80" s="3" t="s">
        <v>39</v>
      </c>
      <c r="H80" s="3" t="s">
        <v>46</v>
      </c>
      <c r="I80" s="3" t="s">
        <v>47</v>
      </c>
      <c r="J80" s="3" t="s">
        <v>48</v>
      </c>
      <c r="K80" s="3" t="s">
        <v>33</v>
      </c>
      <c r="L80" s="3" t="s">
        <v>95</v>
      </c>
      <c r="M80" s="3" t="s">
        <v>96</v>
      </c>
      <c r="N80" s="3">
        <v>10</v>
      </c>
      <c r="O80" s="5">
        <v>0.2</v>
      </c>
      <c r="P80" s="6">
        <v>3714.32</v>
      </c>
      <c r="Q80" s="6">
        <v>-79.7</v>
      </c>
    </row>
    <row r="81" spans="1:17" x14ac:dyDescent="0.3">
      <c r="A81" s="3">
        <v>80</v>
      </c>
      <c r="B81" s="3" t="s">
        <v>272</v>
      </c>
      <c r="C81" s="4">
        <v>45121</v>
      </c>
      <c r="D81" s="4">
        <v>45123</v>
      </c>
      <c r="E81" s="3" t="s">
        <v>37</v>
      </c>
      <c r="F81" s="3" t="s">
        <v>216</v>
      </c>
      <c r="G81" s="3" t="s">
        <v>30</v>
      </c>
      <c r="H81" s="3" t="s">
        <v>22</v>
      </c>
      <c r="I81" s="3" t="s">
        <v>23</v>
      </c>
      <c r="J81" s="3" t="s">
        <v>24</v>
      </c>
      <c r="K81" s="3" t="s">
        <v>58</v>
      </c>
      <c r="L81" s="3" t="s">
        <v>86</v>
      </c>
      <c r="M81" s="3" t="s">
        <v>211</v>
      </c>
      <c r="N81" s="3">
        <v>7</v>
      </c>
      <c r="O81" s="5">
        <v>0.4</v>
      </c>
      <c r="P81" s="6">
        <v>1166.07</v>
      </c>
      <c r="Q81" s="6">
        <v>-12.55</v>
      </c>
    </row>
    <row r="82" spans="1:17" x14ac:dyDescent="0.3">
      <c r="A82" s="3">
        <v>81</v>
      </c>
      <c r="B82" s="3" t="s">
        <v>273</v>
      </c>
      <c r="C82" s="4">
        <v>44383</v>
      </c>
      <c r="D82" s="4">
        <v>44390</v>
      </c>
      <c r="E82" s="3" t="s">
        <v>37</v>
      </c>
      <c r="F82" s="3" t="s">
        <v>274</v>
      </c>
      <c r="G82" s="3" t="s">
        <v>21</v>
      </c>
      <c r="H82" s="3" t="s">
        <v>46</v>
      </c>
      <c r="I82" s="3" t="s">
        <v>78</v>
      </c>
      <c r="J82" s="3" t="s">
        <v>79</v>
      </c>
      <c r="K82" s="3" t="s">
        <v>25</v>
      </c>
      <c r="L82" s="3" t="s">
        <v>74</v>
      </c>
      <c r="M82" s="3" t="s">
        <v>75</v>
      </c>
      <c r="N82" s="3">
        <v>2</v>
      </c>
      <c r="O82" s="5">
        <v>0</v>
      </c>
      <c r="P82" s="6">
        <v>26</v>
      </c>
      <c r="Q82" s="6">
        <v>5.12</v>
      </c>
    </row>
    <row r="83" spans="1:17" x14ac:dyDescent="0.3">
      <c r="A83" s="3">
        <v>82</v>
      </c>
      <c r="B83" s="3" t="s">
        <v>275</v>
      </c>
      <c r="C83" s="4">
        <v>44302</v>
      </c>
      <c r="D83" s="4">
        <v>44305</v>
      </c>
      <c r="E83" s="3" t="s">
        <v>62</v>
      </c>
      <c r="F83" s="3" t="s">
        <v>276</v>
      </c>
      <c r="G83" s="3" t="s">
        <v>21</v>
      </c>
      <c r="H83" s="3" t="s">
        <v>22</v>
      </c>
      <c r="I83" s="3" t="s">
        <v>84</v>
      </c>
      <c r="J83" s="3" t="s">
        <v>85</v>
      </c>
      <c r="K83" s="3" t="s">
        <v>25</v>
      </c>
      <c r="L83" s="3" t="s">
        <v>53</v>
      </c>
      <c r="M83" s="3" t="s">
        <v>54</v>
      </c>
      <c r="N83" s="3">
        <v>10</v>
      </c>
      <c r="O83" s="5">
        <v>0</v>
      </c>
      <c r="P83" s="6">
        <v>388.69</v>
      </c>
      <c r="Q83" s="6">
        <v>37.61</v>
      </c>
    </row>
    <row r="84" spans="1:17" x14ac:dyDescent="0.3">
      <c r="A84" s="3">
        <v>83</v>
      </c>
      <c r="B84" s="3" t="s">
        <v>277</v>
      </c>
      <c r="C84" s="4">
        <v>44660</v>
      </c>
      <c r="D84" s="4">
        <v>44667</v>
      </c>
      <c r="E84" s="3" t="s">
        <v>37</v>
      </c>
      <c r="F84" s="3" t="s">
        <v>278</v>
      </c>
      <c r="G84" s="3" t="s">
        <v>30</v>
      </c>
      <c r="H84" s="3" t="s">
        <v>46</v>
      </c>
      <c r="I84" s="3" t="s">
        <v>47</v>
      </c>
      <c r="J84" s="3" t="s">
        <v>48</v>
      </c>
      <c r="K84" s="3" t="s">
        <v>25</v>
      </c>
      <c r="L84" s="3" t="s">
        <v>106</v>
      </c>
      <c r="M84" s="3" t="s">
        <v>136</v>
      </c>
      <c r="N84" s="3">
        <v>7</v>
      </c>
      <c r="O84" s="5">
        <v>0</v>
      </c>
      <c r="P84" s="6">
        <v>712.1</v>
      </c>
      <c r="Q84" s="6">
        <v>82.17</v>
      </c>
    </row>
    <row r="85" spans="1:17" x14ac:dyDescent="0.3">
      <c r="A85" s="3">
        <v>84</v>
      </c>
      <c r="B85" s="3" t="s">
        <v>279</v>
      </c>
      <c r="C85" s="4">
        <v>44339</v>
      </c>
      <c r="D85" s="4">
        <v>44341</v>
      </c>
      <c r="E85" s="3" t="s">
        <v>37</v>
      </c>
      <c r="F85" s="3" t="s">
        <v>280</v>
      </c>
      <c r="G85" s="3" t="s">
        <v>30</v>
      </c>
      <c r="H85" s="3" t="s">
        <v>46</v>
      </c>
      <c r="I85" s="3" t="s">
        <v>281</v>
      </c>
      <c r="J85" s="3" t="s">
        <v>282</v>
      </c>
      <c r="K85" s="3" t="s">
        <v>33</v>
      </c>
      <c r="L85" s="3" t="s">
        <v>95</v>
      </c>
      <c r="M85" s="3" t="s">
        <v>120</v>
      </c>
      <c r="N85" s="3">
        <v>12</v>
      </c>
      <c r="O85" s="5">
        <v>0</v>
      </c>
      <c r="P85" s="6">
        <v>5428.69</v>
      </c>
      <c r="Q85" s="6">
        <v>-1058.3</v>
      </c>
    </row>
    <row r="86" spans="1:17" x14ac:dyDescent="0.3">
      <c r="A86" s="3">
        <v>85</v>
      </c>
      <c r="B86" s="3" t="s">
        <v>283</v>
      </c>
      <c r="C86" s="4">
        <v>45418</v>
      </c>
      <c r="D86" s="4">
        <v>45419</v>
      </c>
      <c r="E86" s="3" t="s">
        <v>56</v>
      </c>
      <c r="F86" s="3" t="s">
        <v>152</v>
      </c>
      <c r="G86" s="3" t="s">
        <v>30</v>
      </c>
      <c r="H86" s="3" t="s">
        <v>40</v>
      </c>
      <c r="I86" s="3" t="s">
        <v>41</v>
      </c>
      <c r="J86" s="3" t="s">
        <v>42</v>
      </c>
      <c r="K86" s="3" t="s">
        <v>25</v>
      </c>
      <c r="L86" s="3" t="s">
        <v>106</v>
      </c>
      <c r="M86" s="3" t="s">
        <v>136</v>
      </c>
      <c r="N86" s="3">
        <v>1</v>
      </c>
      <c r="O86" s="5">
        <v>0</v>
      </c>
      <c r="P86" s="6">
        <v>20.36</v>
      </c>
      <c r="Q86" s="6">
        <v>3.14</v>
      </c>
    </row>
    <row r="87" spans="1:17" x14ac:dyDescent="0.3">
      <c r="A87" s="3">
        <v>86</v>
      </c>
      <c r="B87" s="3" t="s">
        <v>284</v>
      </c>
      <c r="C87" s="4">
        <v>45077</v>
      </c>
      <c r="D87" s="4">
        <v>45078</v>
      </c>
      <c r="E87" s="3" t="s">
        <v>62</v>
      </c>
      <c r="F87" s="3" t="s">
        <v>285</v>
      </c>
      <c r="G87" s="3" t="s">
        <v>30</v>
      </c>
      <c r="H87" s="3" t="s">
        <v>90</v>
      </c>
      <c r="I87" s="3" t="s">
        <v>99</v>
      </c>
      <c r="J87" s="3" t="s">
        <v>100</v>
      </c>
      <c r="K87" s="3" t="s">
        <v>33</v>
      </c>
      <c r="L87" s="3" t="s">
        <v>49</v>
      </c>
      <c r="M87" s="3" t="s">
        <v>286</v>
      </c>
      <c r="N87" s="3">
        <v>5</v>
      </c>
      <c r="O87" s="5">
        <v>0.4</v>
      </c>
      <c r="P87" s="6">
        <v>2124.31</v>
      </c>
      <c r="Q87" s="6">
        <v>140.55000000000001</v>
      </c>
    </row>
    <row r="88" spans="1:17" x14ac:dyDescent="0.3">
      <c r="A88" s="3">
        <v>87</v>
      </c>
      <c r="B88" s="3" t="s">
        <v>287</v>
      </c>
      <c r="C88" s="4">
        <v>44720</v>
      </c>
      <c r="D88" s="4">
        <v>44723</v>
      </c>
      <c r="E88" s="3" t="s">
        <v>19</v>
      </c>
      <c r="F88" s="3" t="s">
        <v>288</v>
      </c>
      <c r="G88" s="3" t="s">
        <v>39</v>
      </c>
      <c r="H88" s="3" t="s">
        <v>22</v>
      </c>
      <c r="I88" s="3" t="s">
        <v>68</v>
      </c>
      <c r="J88" s="3" t="s">
        <v>69</v>
      </c>
      <c r="K88" s="3" t="s">
        <v>25</v>
      </c>
      <c r="L88" s="3" t="s">
        <v>26</v>
      </c>
      <c r="M88" s="3" t="s">
        <v>27</v>
      </c>
      <c r="N88" s="3">
        <v>6</v>
      </c>
      <c r="O88" s="5">
        <v>0.4</v>
      </c>
      <c r="P88" s="6">
        <v>85.32</v>
      </c>
      <c r="Q88" s="6">
        <v>16.91</v>
      </c>
    </row>
    <row r="89" spans="1:17" x14ac:dyDescent="0.3">
      <c r="A89" s="3">
        <v>88</v>
      </c>
      <c r="B89" s="3" t="s">
        <v>289</v>
      </c>
      <c r="C89" s="4">
        <v>45090</v>
      </c>
      <c r="D89" s="4">
        <v>45091</v>
      </c>
      <c r="E89" s="3" t="s">
        <v>56</v>
      </c>
      <c r="F89" s="3" t="s">
        <v>290</v>
      </c>
      <c r="G89" s="3" t="s">
        <v>21</v>
      </c>
      <c r="H89" s="3" t="s">
        <v>46</v>
      </c>
      <c r="I89" s="3" t="s">
        <v>257</v>
      </c>
      <c r="J89" s="3" t="s">
        <v>258</v>
      </c>
      <c r="K89" s="3" t="s">
        <v>25</v>
      </c>
      <c r="L89" s="3" t="s">
        <v>53</v>
      </c>
      <c r="M89" s="3" t="s">
        <v>139</v>
      </c>
      <c r="N89" s="3">
        <v>8</v>
      </c>
      <c r="O89" s="5">
        <v>0.2</v>
      </c>
      <c r="P89" s="6">
        <v>832.44</v>
      </c>
      <c r="Q89" s="6">
        <v>79.459999999999994</v>
      </c>
    </row>
    <row r="90" spans="1:17" x14ac:dyDescent="0.3">
      <c r="A90" s="3">
        <v>89</v>
      </c>
      <c r="B90" s="3" t="s">
        <v>291</v>
      </c>
      <c r="C90" s="4">
        <v>44377</v>
      </c>
      <c r="D90" s="4">
        <v>44381</v>
      </c>
      <c r="E90" s="3" t="s">
        <v>37</v>
      </c>
      <c r="F90" s="3" t="s">
        <v>292</v>
      </c>
      <c r="G90" s="3" t="s">
        <v>39</v>
      </c>
      <c r="H90" s="3" t="s">
        <v>22</v>
      </c>
      <c r="I90" s="3" t="s">
        <v>72</v>
      </c>
      <c r="J90" s="3" t="s">
        <v>73</v>
      </c>
      <c r="K90" s="3" t="s">
        <v>33</v>
      </c>
      <c r="L90" s="3" t="s">
        <v>34</v>
      </c>
      <c r="M90" s="3" t="s">
        <v>254</v>
      </c>
      <c r="N90" s="3">
        <v>14</v>
      </c>
      <c r="O90" s="5">
        <v>0.3</v>
      </c>
      <c r="P90" s="6">
        <v>1228.8699999999999</v>
      </c>
      <c r="Q90" s="6">
        <v>126.97</v>
      </c>
    </row>
    <row r="91" spans="1:17" x14ac:dyDescent="0.3">
      <c r="A91" s="3">
        <v>90</v>
      </c>
      <c r="B91" s="3" t="s">
        <v>293</v>
      </c>
      <c r="C91" s="4">
        <v>45493</v>
      </c>
      <c r="D91" s="4">
        <v>45494</v>
      </c>
      <c r="E91" s="3" t="s">
        <v>37</v>
      </c>
      <c r="F91" s="3" t="s">
        <v>294</v>
      </c>
      <c r="G91" s="3" t="s">
        <v>21</v>
      </c>
      <c r="H91" s="3" t="s">
        <v>40</v>
      </c>
      <c r="I91" s="3" t="s">
        <v>41</v>
      </c>
      <c r="J91" s="3" t="s">
        <v>42</v>
      </c>
      <c r="K91" s="3" t="s">
        <v>58</v>
      </c>
      <c r="L91" s="3" t="s">
        <v>59</v>
      </c>
      <c r="M91" s="3" t="s">
        <v>295</v>
      </c>
      <c r="N91" s="3">
        <v>9</v>
      </c>
      <c r="O91" s="5">
        <v>0.2</v>
      </c>
      <c r="P91" s="6">
        <v>2281.4699999999998</v>
      </c>
      <c r="Q91" s="6">
        <v>-89.75</v>
      </c>
    </row>
    <row r="92" spans="1:17" x14ac:dyDescent="0.3">
      <c r="A92" s="3">
        <v>91</v>
      </c>
      <c r="B92" s="3" t="s">
        <v>296</v>
      </c>
      <c r="C92" s="4">
        <v>44559</v>
      </c>
      <c r="D92" s="4">
        <v>44566</v>
      </c>
      <c r="E92" s="3" t="s">
        <v>62</v>
      </c>
      <c r="F92" s="3" t="s">
        <v>297</v>
      </c>
      <c r="G92" s="3" t="s">
        <v>30</v>
      </c>
      <c r="H92" s="3" t="s">
        <v>40</v>
      </c>
      <c r="I92" s="3" t="s">
        <v>114</v>
      </c>
      <c r="J92" s="3" t="s">
        <v>115</v>
      </c>
      <c r="K92" s="3" t="s">
        <v>25</v>
      </c>
      <c r="L92" s="3" t="s">
        <v>53</v>
      </c>
      <c r="M92" s="3" t="s">
        <v>139</v>
      </c>
      <c r="N92" s="3">
        <v>11</v>
      </c>
      <c r="O92" s="5">
        <v>0.4</v>
      </c>
      <c r="P92" s="6">
        <v>583.76</v>
      </c>
      <c r="Q92" s="6">
        <v>92.63</v>
      </c>
    </row>
    <row r="93" spans="1:17" x14ac:dyDescent="0.3">
      <c r="A93" s="3">
        <v>92</v>
      </c>
      <c r="B93" s="3" t="s">
        <v>298</v>
      </c>
      <c r="C93" s="4">
        <v>44312</v>
      </c>
      <c r="D93" s="4">
        <v>44315</v>
      </c>
      <c r="E93" s="3" t="s">
        <v>62</v>
      </c>
      <c r="F93" s="3" t="s">
        <v>138</v>
      </c>
      <c r="G93" s="3" t="s">
        <v>21</v>
      </c>
      <c r="H93" s="3" t="s">
        <v>90</v>
      </c>
      <c r="I93" s="3" t="s">
        <v>110</v>
      </c>
      <c r="J93" s="3" t="s">
        <v>111</v>
      </c>
      <c r="K93" s="3" t="s">
        <v>25</v>
      </c>
      <c r="L93" s="3" t="s">
        <v>106</v>
      </c>
      <c r="M93" s="3" t="s">
        <v>136</v>
      </c>
      <c r="N93" s="3">
        <v>9</v>
      </c>
      <c r="O93" s="5">
        <v>0.4</v>
      </c>
      <c r="P93" s="6">
        <v>85.18</v>
      </c>
      <c r="Q93" s="6">
        <v>1.8</v>
      </c>
    </row>
    <row r="94" spans="1:17" x14ac:dyDescent="0.3">
      <c r="A94" s="3">
        <v>93</v>
      </c>
      <c r="B94" s="3" t="s">
        <v>299</v>
      </c>
      <c r="C94" s="4">
        <v>45118</v>
      </c>
      <c r="D94" s="4">
        <v>45125</v>
      </c>
      <c r="E94" s="3" t="s">
        <v>37</v>
      </c>
      <c r="F94" s="3" t="s">
        <v>300</v>
      </c>
      <c r="G94" s="3" t="s">
        <v>21</v>
      </c>
      <c r="H94" s="3" t="s">
        <v>90</v>
      </c>
      <c r="I94" s="3" t="s">
        <v>110</v>
      </c>
      <c r="J94" s="3" t="s">
        <v>111</v>
      </c>
      <c r="K94" s="3" t="s">
        <v>25</v>
      </c>
      <c r="L94" s="3" t="s">
        <v>53</v>
      </c>
      <c r="M94" s="3" t="s">
        <v>139</v>
      </c>
      <c r="N94" s="3">
        <v>10</v>
      </c>
      <c r="O94" s="5">
        <v>0.2</v>
      </c>
      <c r="P94" s="6">
        <v>741.82</v>
      </c>
      <c r="Q94" s="6">
        <v>83.83</v>
      </c>
    </row>
    <row r="95" spans="1:17" x14ac:dyDescent="0.3">
      <c r="A95" s="3">
        <v>94</v>
      </c>
      <c r="B95" s="3" t="s">
        <v>301</v>
      </c>
      <c r="C95" s="4">
        <v>45646</v>
      </c>
      <c r="D95" s="4">
        <v>45650</v>
      </c>
      <c r="E95" s="3" t="s">
        <v>62</v>
      </c>
      <c r="F95" s="3" t="s">
        <v>280</v>
      </c>
      <c r="G95" s="3" t="s">
        <v>30</v>
      </c>
      <c r="H95" s="3" t="s">
        <v>22</v>
      </c>
      <c r="I95" s="3" t="s">
        <v>31</v>
      </c>
      <c r="J95" s="3" t="s">
        <v>32</v>
      </c>
      <c r="K95" s="3" t="s">
        <v>25</v>
      </c>
      <c r="L95" s="3" t="s">
        <v>116</v>
      </c>
      <c r="M95" s="3" t="s">
        <v>202</v>
      </c>
      <c r="N95" s="3">
        <v>8</v>
      </c>
      <c r="O95" s="5">
        <v>0</v>
      </c>
      <c r="P95" s="6">
        <v>510.72</v>
      </c>
      <c r="Q95" s="6">
        <v>-16.170000000000002</v>
      </c>
    </row>
    <row r="96" spans="1:17" x14ac:dyDescent="0.3">
      <c r="A96" s="3">
        <v>95</v>
      </c>
      <c r="B96" s="3" t="s">
        <v>302</v>
      </c>
      <c r="C96" s="4">
        <v>44778</v>
      </c>
      <c r="D96" s="4">
        <v>44781</v>
      </c>
      <c r="E96" s="3" t="s">
        <v>56</v>
      </c>
      <c r="F96" s="3" t="s">
        <v>138</v>
      </c>
      <c r="G96" s="3" t="s">
        <v>39</v>
      </c>
      <c r="H96" s="3" t="s">
        <v>46</v>
      </c>
      <c r="I96" s="3" t="s">
        <v>257</v>
      </c>
      <c r="J96" s="3" t="s">
        <v>258</v>
      </c>
      <c r="K96" s="3" t="s">
        <v>25</v>
      </c>
      <c r="L96" s="3" t="s">
        <v>80</v>
      </c>
      <c r="M96" s="3" t="s">
        <v>150</v>
      </c>
      <c r="N96" s="3">
        <v>12</v>
      </c>
      <c r="O96" s="5">
        <v>0</v>
      </c>
      <c r="P96" s="6">
        <v>1229.82</v>
      </c>
      <c r="Q96" s="6">
        <v>-61.47</v>
      </c>
    </row>
    <row r="97" spans="1:17" x14ac:dyDescent="0.3">
      <c r="A97" s="3">
        <v>96</v>
      </c>
      <c r="B97" s="3" t="s">
        <v>303</v>
      </c>
      <c r="C97" s="4">
        <v>45341</v>
      </c>
      <c r="D97" s="4">
        <v>45345</v>
      </c>
      <c r="E97" s="3" t="s">
        <v>62</v>
      </c>
      <c r="F97" s="3" t="s">
        <v>304</v>
      </c>
      <c r="G97" s="3" t="s">
        <v>30</v>
      </c>
      <c r="H97" s="3" t="s">
        <v>40</v>
      </c>
      <c r="I97" s="3" t="s">
        <v>223</v>
      </c>
      <c r="J97" s="3" t="s">
        <v>224</v>
      </c>
      <c r="K97" s="3" t="s">
        <v>25</v>
      </c>
      <c r="L97" s="3" t="s">
        <v>116</v>
      </c>
      <c r="M97" s="3" t="s">
        <v>166</v>
      </c>
      <c r="N97" s="3">
        <v>11</v>
      </c>
      <c r="O97" s="5">
        <v>0</v>
      </c>
      <c r="P97" s="6">
        <v>1049.58</v>
      </c>
      <c r="Q97" s="6">
        <v>159.61000000000001</v>
      </c>
    </row>
    <row r="98" spans="1:17" x14ac:dyDescent="0.3">
      <c r="A98" s="3">
        <v>97</v>
      </c>
      <c r="B98" s="3" t="s">
        <v>305</v>
      </c>
      <c r="C98" s="4">
        <v>45192</v>
      </c>
      <c r="D98" s="4">
        <v>45194</v>
      </c>
      <c r="E98" s="3" t="s">
        <v>62</v>
      </c>
      <c r="F98" s="3" t="s">
        <v>306</v>
      </c>
      <c r="G98" s="3" t="s">
        <v>39</v>
      </c>
      <c r="H98" s="3" t="s">
        <v>46</v>
      </c>
      <c r="I98" s="3" t="s">
        <v>281</v>
      </c>
      <c r="J98" s="3" t="s">
        <v>282</v>
      </c>
      <c r="K98" s="3" t="s">
        <v>33</v>
      </c>
      <c r="L98" s="3" t="s">
        <v>95</v>
      </c>
      <c r="M98" s="3" t="s">
        <v>96</v>
      </c>
      <c r="N98" s="3">
        <v>4</v>
      </c>
      <c r="O98" s="5">
        <v>0</v>
      </c>
      <c r="P98" s="6">
        <v>2799.94</v>
      </c>
      <c r="Q98" s="6">
        <v>-570.35</v>
      </c>
    </row>
    <row r="99" spans="1:17" x14ac:dyDescent="0.3">
      <c r="A99" s="3">
        <v>98</v>
      </c>
      <c r="B99" s="3" t="s">
        <v>307</v>
      </c>
      <c r="C99" s="4">
        <v>44529</v>
      </c>
      <c r="D99" s="4">
        <v>44531</v>
      </c>
      <c r="E99" s="3" t="s">
        <v>19</v>
      </c>
      <c r="F99" s="3" t="s">
        <v>182</v>
      </c>
      <c r="G99" s="3" t="s">
        <v>39</v>
      </c>
      <c r="H99" s="3" t="s">
        <v>46</v>
      </c>
      <c r="I99" s="3" t="s">
        <v>47</v>
      </c>
      <c r="J99" s="3" t="s">
        <v>48</v>
      </c>
      <c r="K99" s="3" t="s">
        <v>33</v>
      </c>
      <c r="L99" s="3" t="s">
        <v>34</v>
      </c>
      <c r="M99" s="3" t="s">
        <v>35</v>
      </c>
      <c r="N99" s="3">
        <v>14</v>
      </c>
      <c r="O99" s="5">
        <v>0</v>
      </c>
      <c r="P99" s="6">
        <v>6897.39</v>
      </c>
      <c r="Q99" s="6">
        <v>1260.22</v>
      </c>
    </row>
    <row r="100" spans="1:17" x14ac:dyDescent="0.3">
      <c r="A100" s="3">
        <v>99</v>
      </c>
      <c r="B100" s="3" t="s">
        <v>308</v>
      </c>
      <c r="C100" s="4">
        <v>44676</v>
      </c>
      <c r="D100" s="4">
        <v>44681</v>
      </c>
      <c r="E100" s="3" t="s">
        <v>56</v>
      </c>
      <c r="F100" s="3" t="s">
        <v>309</v>
      </c>
      <c r="G100" s="3" t="s">
        <v>30</v>
      </c>
      <c r="H100" s="3" t="s">
        <v>90</v>
      </c>
      <c r="I100" s="3" t="s">
        <v>91</v>
      </c>
      <c r="J100" s="3" t="s">
        <v>92</v>
      </c>
      <c r="K100" s="3" t="s">
        <v>25</v>
      </c>
      <c r="L100" s="3" t="s">
        <v>53</v>
      </c>
      <c r="M100" s="3" t="s">
        <v>54</v>
      </c>
      <c r="N100" s="3">
        <v>4</v>
      </c>
      <c r="O100" s="5">
        <v>0.4</v>
      </c>
      <c r="P100" s="6">
        <v>135.58000000000001</v>
      </c>
      <c r="Q100" s="6">
        <v>39.64</v>
      </c>
    </row>
    <row r="101" spans="1:17" x14ac:dyDescent="0.3">
      <c r="A101" s="3">
        <v>100</v>
      </c>
      <c r="B101" s="3" t="s">
        <v>310</v>
      </c>
      <c r="C101" s="4">
        <v>44605</v>
      </c>
      <c r="D101" s="4">
        <v>44612</v>
      </c>
      <c r="E101" s="3" t="s">
        <v>62</v>
      </c>
      <c r="F101" s="3" t="s">
        <v>311</v>
      </c>
      <c r="G101" s="3" t="s">
        <v>21</v>
      </c>
      <c r="H101" s="3" t="s">
        <v>46</v>
      </c>
      <c r="I101" s="3" t="s">
        <v>146</v>
      </c>
      <c r="J101" s="3" t="s">
        <v>147</v>
      </c>
      <c r="K101" s="3" t="s">
        <v>25</v>
      </c>
      <c r="L101" s="3" t="s">
        <v>74</v>
      </c>
      <c r="M101" s="3" t="s">
        <v>75</v>
      </c>
      <c r="N101" s="3">
        <v>10</v>
      </c>
      <c r="O101" s="5">
        <v>0.15</v>
      </c>
      <c r="P101" s="6">
        <v>175.06</v>
      </c>
      <c r="Q101" s="6">
        <v>-38.28</v>
      </c>
    </row>
    <row r="102" spans="1:17" x14ac:dyDescent="0.3">
      <c r="A102" s="3">
        <v>101</v>
      </c>
      <c r="B102" s="3" t="s">
        <v>312</v>
      </c>
      <c r="C102" s="4">
        <v>45248</v>
      </c>
      <c r="D102" s="4">
        <v>45250</v>
      </c>
      <c r="E102" s="3" t="s">
        <v>56</v>
      </c>
      <c r="F102" s="3" t="s">
        <v>313</v>
      </c>
      <c r="G102" s="3" t="s">
        <v>21</v>
      </c>
      <c r="H102" s="3" t="s">
        <v>46</v>
      </c>
      <c r="I102" s="3" t="s">
        <v>257</v>
      </c>
      <c r="J102" s="3" t="s">
        <v>258</v>
      </c>
      <c r="K102" s="3" t="s">
        <v>25</v>
      </c>
      <c r="L102" s="3" t="s">
        <v>106</v>
      </c>
      <c r="M102" s="3" t="s">
        <v>107</v>
      </c>
      <c r="N102" s="3">
        <v>14</v>
      </c>
      <c r="O102" s="5">
        <v>0.1</v>
      </c>
      <c r="P102" s="6">
        <v>728.18</v>
      </c>
      <c r="Q102" s="6">
        <v>174.78</v>
      </c>
    </row>
    <row r="103" spans="1:17" x14ac:dyDescent="0.3">
      <c r="A103" s="3">
        <v>102</v>
      </c>
      <c r="B103" s="3" t="s">
        <v>314</v>
      </c>
      <c r="C103" s="4">
        <v>44656</v>
      </c>
      <c r="D103" s="4">
        <v>44657</v>
      </c>
      <c r="E103" s="3" t="s">
        <v>19</v>
      </c>
      <c r="F103" s="3" t="s">
        <v>315</v>
      </c>
      <c r="G103" s="3" t="s">
        <v>30</v>
      </c>
      <c r="H103" s="3" t="s">
        <v>46</v>
      </c>
      <c r="I103" s="3" t="s">
        <v>78</v>
      </c>
      <c r="J103" s="3" t="s">
        <v>79</v>
      </c>
      <c r="K103" s="3" t="s">
        <v>25</v>
      </c>
      <c r="L103" s="3" t="s">
        <v>116</v>
      </c>
      <c r="M103" s="3" t="s">
        <v>166</v>
      </c>
      <c r="N103" s="3">
        <v>6</v>
      </c>
      <c r="O103" s="5">
        <v>0.2</v>
      </c>
      <c r="P103" s="6">
        <v>630.76</v>
      </c>
      <c r="Q103" s="6">
        <v>141.81</v>
      </c>
    </row>
    <row r="104" spans="1:17" x14ac:dyDescent="0.3">
      <c r="A104" s="3">
        <v>103</v>
      </c>
      <c r="B104" s="3" t="s">
        <v>316</v>
      </c>
      <c r="C104" s="4">
        <v>44721</v>
      </c>
      <c r="D104" s="4">
        <v>44723</v>
      </c>
      <c r="E104" s="3" t="s">
        <v>62</v>
      </c>
      <c r="F104" s="3" t="s">
        <v>317</v>
      </c>
      <c r="G104" s="3" t="s">
        <v>21</v>
      </c>
      <c r="H104" s="3" t="s">
        <v>90</v>
      </c>
      <c r="I104" s="3" t="s">
        <v>110</v>
      </c>
      <c r="J104" s="3" t="s">
        <v>111</v>
      </c>
      <c r="K104" s="3" t="s">
        <v>25</v>
      </c>
      <c r="L104" s="3" t="s">
        <v>116</v>
      </c>
      <c r="M104" s="3" t="s">
        <v>202</v>
      </c>
      <c r="N104" s="3">
        <v>14</v>
      </c>
      <c r="O104" s="5">
        <v>0.3</v>
      </c>
      <c r="P104" s="6">
        <v>250.26</v>
      </c>
      <c r="Q104" s="6">
        <v>-45.87</v>
      </c>
    </row>
    <row r="105" spans="1:17" x14ac:dyDescent="0.3">
      <c r="A105" s="3">
        <v>104</v>
      </c>
      <c r="B105" s="3" t="s">
        <v>318</v>
      </c>
      <c r="C105" s="4">
        <v>44325</v>
      </c>
      <c r="D105" s="4">
        <v>44326</v>
      </c>
      <c r="E105" s="3" t="s">
        <v>62</v>
      </c>
      <c r="F105" s="3" t="s">
        <v>319</v>
      </c>
      <c r="G105" s="3" t="s">
        <v>30</v>
      </c>
      <c r="H105" s="3" t="s">
        <v>40</v>
      </c>
      <c r="I105" s="3" t="s">
        <v>185</v>
      </c>
      <c r="J105" s="3" t="s">
        <v>186</v>
      </c>
      <c r="K105" s="3" t="s">
        <v>25</v>
      </c>
      <c r="L105" s="3" t="s">
        <v>80</v>
      </c>
      <c r="M105" s="3" t="s">
        <v>150</v>
      </c>
      <c r="N105" s="3">
        <v>14</v>
      </c>
      <c r="O105" s="5">
        <v>0</v>
      </c>
      <c r="P105" s="6">
        <v>1523.3</v>
      </c>
      <c r="Q105" s="6">
        <v>196.77</v>
      </c>
    </row>
    <row r="106" spans="1:17" x14ac:dyDescent="0.3">
      <c r="A106" s="3">
        <v>105</v>
      </c>
      <c r="B106" s="3" t="s">
        <v>320</v>
      </c>
      <c r="C106" s="4">
        <v>45565</v>
      </c>
      <c r="D106" s="4">
        <v>45566</v>
      </c>
      <c r="E106" s="3" t="s">
        <v>56</v>
      </c>
      <c r="F106" s="3" t="s">
        <v>321</v>
      </c>
      <c r="G106" s="3" t="s">
        <v>21</v>
      </c>
      <c r="H106" s="3" t="s">
        <v>46</v>
      </c>
      <c r="I106" s="3" t="s">
        <v>78</v>
      </c>
      <c r="J106" s="3" t="s">
        <v>79</v>
      </c>
      <c r="K106" s="3" t="s">
        <v>25</v>
      </c>
      <c r="L106" s="3" t="s">
        <v>26</v>
      </c>
      <c r="M106" s="3" t="s">
        <v>155</v>
      </c>
      <c r="N106" s="3">
        <v>9</v>
      </c>
      <c r="O106" s="5">
        <v>0</v>
      </c>
      <c r="P106" s="6">
        <v>1053.08</v>
      </c>
      <c r="Q106" s="6">
        <v>339.14</v>
      </c>
    </row>
    <row r="107" spans="1:17" x14ac:dyDescent="0.3">
      <c r="A107" s="3">
        <v>106</v>
      </c>
      <c r="B107" s="3" t="s">
        <v>322</v>
      </c>
      <c r="C107" s="4">
        <v>44903</v>
      </c>
      <c r="D107" s="4">
        <v>44905</v>
      </c>
      <c r="E107" s="3" t="s">
        <v>37</v>
      </c>
      <c r="F107" s="3" t="s">
        <v>323</v>
      </c>
      <c r="G107" s="3" t="s">
        <v>30</v>
      </c>
      <c r="H107" s="3" t="s">
        <v>46</v>
      </c>
      <c r="I107" s="3" t="s">
        <v>281</v>
      </c>
      <c r="J107" s="3" t="s">
        <v>282</v>
      </c>
      <c r="K107" s="3" t="s">
        <v>25</v>
      </c>
      <c r="L107" s="3" t="s">
        <v>106</v>
      </c>
      <c r="M107" s="3" t="s">
        <v>123</v>
      </c>
      <c r="N107" s="3">
        <v>12</v>
      </c>
      <c r="O107" s="5">
        <v>0</v>
      </c>
      <c r="P107" s="6">
        <v>954.46</v>
      </c>
      <c r="Q107" s="6">
        <v>203.21</v>
      </c>
    </row>
    <row r="108" spans="1:17" x14ac:dyDescent="0.3">
      <c r="A108" s="3">
        <v>107</v>
      </c>
      <c r="B108" s="3" t="s">
        <v>324</v>
      </c>
      <c r="C108" s="4">
        <v>44473</v>
      </c>
      <c r="D108" s="4">
        <v>44474</v>
      </c>
      <c r="E108" s="3" t="s">
        <v>37</v>
      </c>
      <c r="F108" s="3" t="s">
        <v>163</v>
      </c>
      <c r="G108" s="3" t="s">
        <v>21</v>
      </c>
      <c r="H108" s="3" t="s">
        <v>40</v>
      </c>
      <c r="I108" s="3" t="s">
        <v>185</v>
      </c>
      <c r="J108" s="3" t="s">
        <v>186</v>
      </c>
      <c r="K108" s="3" t="s">
        <v>58</v>
      </c>
      <c r="L108" s="3" t="s">
        <v>217</v>
      </c>
      <c r="M108" s="3" t="s">
        <v>232</v>
      </c>
      <c r="N108" s="3">
        <v>12</v>
      </c>
      <c r="O108" s="5">
        <v>0.4</v>
      </c>
      <c r="P108" s="6">
        <v>4169.1899999999996</v>
      </c>
      <c r="Q108" s="6">
        <v>-949.78</v>
      </c>
    </row>
    <row r="109" spans="1:17" x14ac:dyDescent="0.3">
      <c r="A109" s="3">
        <v>108</v>
      </c>
      <c r="B109" s="3" t="s">
        <v>325</v>
      </c>
      <c r="C109" s="4">
        <v>44715</v>
      </c>
      <c r="D109" s="4">
        <v>44716</v>
      </c>
      <c r="E109" s="3" t="s">
        <v>37</v>
      </c>
      <c r="F109" s="3" t="s">
        <v>188</v>
      </c>
      <c r="G109" s="3" t="s">
        <v>21</v>
      </c>
      <c r="H109" s="3" t="s">
        <v>46</v>
      </c>
      <c r="I109" s="3" t="s">
        <v>47</v>
      </c>
      <c r="J109" s="3" t="s">
        <v>48</v>
      </c>
      <c r="K109" s="3" t="s">
        <v>25</v>
      </c>
      <c r="L109" s="3" t="s">
        <v>80</v>
      </c>
      <c r="M109" s="3" t="s">
        <v>150</v>
      </c>
      <c r="N109" s="3">
        <v>13</v>
      </c>
      <c r="O109" s="5">
        <v>0.15</v>
      </c>
      <c r="P109" s="6">
        <v>972.52</v>
      </c>
      <c r="Q109" s="6">
        <v>-34.83</v>
      </c>
    </row>
    <row r="110" spans="1:17" x14ac:dyDescent="0.3">
      <c r="A110" s="3">
        <v>109</v>
      </c>
      <c r="B110" s="3" t="s">
        <v>326</v>
      </c>
      <c r="C110" s="4">
        <v>44579</v>
      </c>
      <c r="D110" s="4">
        <v>44583</v>
      </c>
      <c r="E110" s="3" t="s">
        <v>19</v>
      </c>
      <c r="F110" s="3" t="s">
        <v>327</v>
      </c>
      <c r="G110" s="3" t="s">
        <v>39</v>
      </c>
      <c r="H110" s="3" t="s">
        <v>90</v>
      </c>
      <c r="I110" s="3" t="s">
        <v>110</v>
      </c>
      <c r="J110" s="3" t="s">
        <v>111</v>
      </c>
      <c r="K110" s="3" t="s">
        <v>25</v>
      </c>
      <c r="L110" s="3" t="s">
        <v>74</v>
      </c>
      <c r="M110" s="3" t="s">
        <v>180</v>
      </c>
      <c r="N110" s="3">
        <v>12</v>
      </c>
      <c r="O110" s="5">
        <v>0.15</v>
      </c>
      <c r="P110" s="6">
        <v>695.71</v>
      </c>
      <c r="Q110" s="6">
        <v>160.49</v>
      </c>
    </row>
    <row r="111" spans="1:17" x14ac:dyDescent="0.3">
      <c r="A111" s="3">
        <v>110</v>
      </c>
      <c r="B111" s="3" t="s">
        <v>328</v>
      </c>
      <c r="C111" s="4">
        <v>44802</v>
      </c>
      <c r="D111" s="4">
        <v>44805</v>
      </c>
      <c r="E111" s="3" t="s">
        <v>37</v>
      </c>
      <c r="F111" s="3" t="s">
        <v>192</v>
      </c>
      <c r="G111" s="3" t="s">
        <v>21</v>
      </c>
      <c r="H111" s="3" t="s">
        <v>46</v>
      </c>
      <c r="I111" s="3" t="s">
        <v>281</v>
      </c>
      <c r="J111" s="3" t="s">
        <v>282</v>
      </c>
      <c r="K111" s="3" t="s">
        <v>33</v>
      </c>
      <c r="L111" s="3" t="s">
        <v>64</v>
      </c>
      <c r="M111" s="3" t="s">
        <v>65</v>
      </c>
      <c r="N111" s="3">
        <v>8</v>
      </c>
      <c r="O111" s="5">
        <v>0.3</v>
      </c>
      <c r="P111" s="6">
        <v>3143.28</v>
      </c>
      <c r="Q111" s="6">
        <v>-471.53</v>
      </c>
    </row>
    <row r="112" spans="1:17" x14ac:dyDescent="0.3">
      <c r="A112" s="3">
        <v>111</v>
      </c>
      <c r="B112" s="3" t="s">
        <v>329</v>
      </c>
      <c r="C112" s="4">
        <v>45571</v>
      </c>
      <c r="D112" s="4">
        <v>45577</v>
      </c>
      <c r="E112" s="3" t="s">
        <v>19</v>
      </c>
      <c r="F112" s="3" t="s">
        <v>330</v>
      </c>
      <c r="G112" s="3" t="s">
        <v>21</v>
      </c>
      <c r="H112" s="3" t="s">
        <v>90</v>
      </c>
      <c r="I112" s="3" t="s">
        <v>99</v>
      </c>
      <c r="J112" s="3" t="s">
        <v>100</v>
      </c>
      <c r="K112" s="3" t="s">
        <v>25</v>
      </c>
      <c r="L112" s="3" t="s">
        <v>116</v>
      </c>
      <c r="M112" s="3" t="s">
        <v>202</v>
      </c>
      <c r="N112" s="3">
        <v>7</v>
      </c>
      <c r="O112" s="5">
        <v>0</v>
      </c>
      <c r="P112" s="6">
        <v>314.08999999999997</v>
      </c>
      <c r="Q112" s="6">
        <v>101.03</v>
      </c>
    </row>
    <row r="113" spans="1:17" x14ac:dyDescent="0.3">
      <c r="A113" s="3">
        <v>112</v>
      </c>
      <c r="B113" s="3" t="s">
        <v>331</v>
      </c>
      <c r="C113" s="4">
        <v>44981</v>
      </c>
      <c r="D113" s="4">
        <v>44986</v>
      </c>
      <c r="E113" s="3" t="s">
        <v>19</v>
      </c>
      <c r="F113" s="3" t="s">
        <v>332</v>
      </c>
      <c r="G113" s="3" t="s">
        <v>39</v>
      </c>
      <c r="H113" s="3" t="s">
        <v>22</v>
      </c>
      <c r="I113" s="3" t="s">
        <v>68</v>
      </c>
      <c r="J113" s="3" t="s">
        <v>69</v>
      </c>
      <c r="K113" s="3" t="s">
        <v>58</v>
      </c>
      <c r="L113" s="3" t="s">
        <v>199</v>
      </c>
      <c r="M113" s="3" t="s">
        <v>200</v>
      </c>
      <c r="N113" s="3">
        <v>1</v>
      </c>
      <c r="O113" s="5">
        <v>0.4</v>
      </c>
      <c r="P113" s="6">
        <v>276.67</v>
      </c>
      <c r="Q113" s="6">
        <v>88.34</v>
      </c>
    </row>
    <row r="114" spans="1:17" x14ac:dyDescent="0.3">
      <c r="A114" s="3">
        <v>113</v>
      </c>
      <c r="B114" s="3" t="s">
        <v>333</v>
      </c>
      <c r="C114" s="4">
        <v>44429</v>
      </c>
      <c r="D114" s="4">
        <v>44430</v>
      </c>
      <c r="E114" s="3" t="s">
        <v>56</v>
      </c>
      <c r="F114" s="3" t="s">
        <v>334</v>
      </c>
      <c r="G114" s="3" t="s">
        <v>39</v>
      </c>
      <c r="H114" s="3" t="s">
        <v>46</v>
      </c>
      <c r="I114" s="3" t="s">
        <v>146</v>
      </c>
      <c r="J114" s="3" t="s">
        <v>147</v>
      </c>
      <c r="K114" s="3" t="s">
        <v>25</v>
      </c>
      <c r="L114" s="3" t="s">
        <v>106</v>
      </c>
      <c r="M114" s="3" t="s">
        <v>123</v>
      </c>
      <c r="N114" s="3">
        <v>12</v>
      </c>
      <c r="O114" s="5">
        <v>0.3</v>
      </c>
      <c r="P114" s="6">
        <v>261.57</v>
      </c>
      <c r="Q114" s="6">
        <v>77.98</v>
      </c>
    </row>
    <row r="115" spans="1:17" x14ac:dyDescent="0.3">
      <c r="A115" s="3">
        <v>114</v>
      </c>
      <c r="B115" s="3" t="s">
        <v>335</v>
      </c>
      <c r="C115" s="4">
        <v>44448</v>
      </c>
      <c r="D115" s="4">
        <v>44450</v>
      </c>
      <c r="E115" s="3" t="s">
        <v>37</v>
      </c>
      <c r="F115" s="3" t="s">
        <v>336</v>
      </c>
      <c r="G115" s="3" t="s">
        <v>39</v>
      </c>
      <c r="H115" s="3" t="s">
        <v>40</v>
      </c>
      <c r="I115" s="3" t="s">
        <v>223</v>
      </c>
      <c r="J115" s="3" t="s">
        <v>224</v>
      </c>
      <c r="K115" s="3" t="s">
        <v>25</v>
      </c>
      <c r="L115" s="3" t="s">
        <v>74</v>
      </c>
      <c r="M115" s="3" t="s">
        <v>75</v>
      </c>
      <c r="N115" s="3">
        <v>14</v>
      </c>
      <c r="O115" s="5">
        <v>0</v>
      </c>
      <c r="P115" s="6">
        <v>150.33000000000001</v>
      </c>
      <c r="Q115" s="6">
        <v>43.48</v>
      </c>
    </row>
    <row r="116" spans="1:17" x14ac:dyDescent="0.3">
      <c r="A116" s="3">
        <v>115</v>
      </c>
      <c r="B116" s="3" t="s">
        <v>337</v>
      </c>
      <c r="C116" s="4">
        <v>45654</v>
      </c>
      <c r="D116" s="4">
        <v>45660</v>
      </c>
      <c r="E116" s="3" t="s">
        <v>56</v>
      </c>
      <c r="F116" s="3" t="s">
        <v>338</v>
      </c>
      <c r="G116" s="3" t="s">
        <v>21</v>
      </c>
      <c r="H116" s="3" t="s">
        <v>22</v>
      </c>
      <c r="I116" s="3" t="s">
        <v>31</v>
      </c>
      <c r="J116" s="3" t="s">
        <v>32</v>
      </c>
      <c r="K116" s="3" t="s">
        <v>25</v>
      </c>
      <c r="L116" s="3" t="s">
        <v>106</v>
      </c>
      <c r="M116" s="3" t="s">
        <v>123</v>
      </c>
      <c r="N116" s="3">
        <v>12</v>
      </c>
      <c r="O116" s="5">
        <v>0.2</v>
      </c>
      <c r="P116" s="6">
        <v>871.36</v>
      </c>
      <c r="Q116" s="6">
        <v>48.15</v>
      </c>
    </row>
    <row r="117" spans="1:17" x14ac:dyDescent="0.3">
      <c r="A117" s="3">
        <v>116</v>
      </c>
      <c r="B117" s="3" t="s">
        <v>339</v>
      </c>
      <c r="C117" s="4">
        <v>45326</v>
      </c>
      <c r="D117" s="4">
        <v>45328</v>
      </c>
      <c r="E117" s="3" t="s">
        <v>62</v>
      </c>
      <c r="F117" s="3" t="s">
        <v>340</v>
      </c>
      <c r="G117" s="3" t="s">
        <v>30</v>
      </c>
      <c r="H117" s="3" t="s">
        <v>22</v>
      </c>
      <c r="I117" s="3" t="s">
        <v>72</v>
      </c>
      <c r="J117" s="3" t="s">
        <v>73</v>
      </c>
      <c r="K117" s="3" t="s">
        <v>25</v>
      </c>
      <c r="L117" s="3" t="s">
        <v>106</v>
      </c>
      <c r="M117" s="3" t="s">
        <v>107</v>
      </c>
      <c r="N117" s="3">
        <v>10</v>
      </c>
      <c r="O117" s="5">
        <v>0</v>
      </c>
      <c r="P117" s="6">
        <v>1063.4100000000001</v>
      </c>
      <c r="Q117" s="6">
        <v>-68.510000000000005</v>
      </c>
    </row>
    <row r="118" spans="1:17" x14ac:dyDescent="0.3">
      <c r="A118" s="3">
        <v>117</v>
      </c>
      <c r="B118" s="3" t="s">
        <v>341</v>
      </c>
      <c r="C118" s="4">
        <v>45589</v>
      </c>
      <c r="D118" s="4">
        <v>45594</v>
      </c>
      <c r="E118" s="3" t="s">
        <v>62</v>
      </c>
      <c r="F118" s="3" t="s">
        <v>304</v>
      </c>
      <c r="G118" s="3" t="s">
        <v>21</v>
      </c>
      <c r="H118" s="3" t="s">
        <v>40</v>
      </c>
      <c r="I118" s="3" t="s">
        <v>41</v>
      </c>
      <c r="J118" s="3" t="s">
        <v>42</v>
      </c>
      <c r="K118" s="3" t="s">
        <v>25</v>
      </c>
      <c r="L118" s="3" t="s">
        <v>74</v>
      </c>
      <c r="M118" s="3" t="s">
        <v>180</v>
      </c>
      <c r="N118" s="3">
        <v>6</v>
      </c>
      <c r="O118" s="5">
        <v>0</v>
      </c>
      <c r="P118" s="6">
        <v>102.86</v>
      </c>
      <c r="Q118" s="6">
        <v>21.67</v>
      </c>
    </row>
    <row r="119" spans="1:17" x14ac:dyDescent="0.3">
      <c r="A119" s="3">
        <v>118</v>
      </c>
      <c r="B119" s="3" t="s">
        <v>342</v>
      </c>
      <c r="C119" s="4">
        <v>44658</v>
      </c>
      <c r="D119" s="4">
        <v>44661</v>
      </c>
      <c r="E119" s="3" t="s">
        <v>62</v>
      </c>
      <c r="F119" s="3" t="s">
        <v>319</v>
      </c>
      <c r="G119" s="3" t="s">
        <v>39</v>
      </c>
      <c r="H119" s="3" t="s">
        <v>40</v>
      </c>
      <c r="I119" s="3" t="s">
        <v>41</v>
      </c>
      <c r="J119" s="3" t="s">
        <v>42</v>
      </c>
      <c r="K119" s="3" t="s">
        <v>33</v>
      </c>
      <c r="L119" s="3" t="s">
        <v>64</v>
      </c>
      <c r="M119" s="3" t="s">
        <v>65</v>
      </c>
      <c r="N119" s="3">
        <v>9</v>
      </c>
      <c r="O119" s="5">
        <v>0</v>
      </c>
      <c r="P119" s="6">
        <v>5661.67</v>
      </c>
      <c r="Q119" s="6">
        <v>-564.11</v>
      </c>
    </row>
    <row r="120" spans="1:17" x14ac:dyDescent="0.3">
      <c r="A120" s="3">
        <v>119</v>
      </c>
      <c r="B120" s="3" t="s">
        <v>343</v>
      </c>
      <c r="C120" s="4">
        <v>45546</v>
      </c>
      <c r="D120" s="4">
        <v>45551</v>
      </c>
      <c r="E120" s="3" t="s">
        <v>37</v>
      </c>
      <c r="F120" s="3" t="s">
        <v>20</v>
      </c>
      <c r="G120" s="3" t="s">
        <v>21</v>
      </c>
      <c r="H120" s="3" t="s">
        <v>40</v>
      </c>
      <c r="I120" s="3" t="s">
        <v>223</v>
      </c>
      <c r="J120" s="3" t="s">
        <v>224</v>
      </c>
      <c r="K120" s="3" t="s">
        <v>58</v>
      </c>
      <c r="L120" s="3" t="s">
        <v>86</v>
      </c>
      <c r="M120" s="3" t="s">
        <v>87</v>
      </c>
      <c r="N120" s="3">
        <v>12</v>
      </c>
      <c r="O120" s="5">
        <v>0.2</v>
      </c>
      <c r="P120" s="6">
        <v>5120.45</v>
      </c>
      <c r="Q120" s="6">
        <v>1308.3699999999999</v>
      </c>
    </row>
    <row r="121" spans="1:17" x14ac:dyDescent="0.3">
      <c r="A121" s="3">
        <v>120</v>
      </c>
      <c r="B121" s="3" t="s">
        <v>344</v>
      </c>
      <c r="C121" s="4">
        <v>45216</v>
      </c>
      <c r="D121" s="4">
        <v>45222</v>
      </c>
      <c r="E121" s="3" t="s">
        <v>62</v>
      </c>
      <c r="F121" s="3" t="s">
        <v>345</v>
      </c>
      <c r="G121" s="3" t="s">
        <v>21</v>
      </c>
      <c r="H121" s="3" t="s">
        <v>40</v>
      </c>
      <c r="I121" s="3" t="s">
        <v>223</v>
      </c>
      <c r="J121" s="3" t="s">
        <v>224</v>
      </c>
      <c r="K121" s="3" t="s">
        <v>25</v>
      </c>
      <c r="L121" s="3" t="s">
        <v>53</v>
      </c>
      <c r="M121" s="3" t="s">
        <v>139</v>
      </c>
      <c r="N121" s="3">
        <v>9</v>
      </c>
      <c r="O121" s="5">
        <v>0.15</v>
      </c>
      <c r="P121" s="6">
        <v>310.98</v>
      </c>
      <c r="Q121" s="6">
        <v>12.37</v>
      </c>
    </row>
    <row r="122" spans="1:17" x14ac:dyDescent="0.3">
      <c r="A122" s="3">
        <v>121</v>
      </c>
      <c r="B122" s="3" t="s">
        <v>346</v>
      </c>
      <c r="C122" s="4">
        <v>44893</v>
      </c>
      <c r="D122" s="4">
        <v>44898</v>
      </c>
      <c r="E122" s="3" t="s">
        <v>62</v>
      </c>
      <c r="F122" s="3" t="s">
        <v>347</v>
      </c>
      <c r="G122" s="3" t="s">
        <v>30</v>
      </c>
      <c r="H122" s="3" t="s">
        <v>40</v>
      </c>
      <c r="I122" s="3" t="s">
        <v>185</v>
      </c>
      <c r="J122" s="3" t="s">
        <v>186</v>
      </c>
      <c r="K122" s="3" t="s">
        <v>25</v>
      </c>
      <c r="L122" s="3" t="s">
        <v>74</v>
      </c>
      <c r="M122" s="3" t="s">
        <v>75</v>
      </c>
      <c r="N122" s="3">
        <v>3</v>
      </c>
      <c r="O122" s="5">
        <v>0.2</v>
      </c>
      <c r="P122" s="6">
        <v>109.65</v>
      </c>
      <c r="Q122" s="6">
        <v>20.89</v>
      </c>
    </row>
    <row r="123" spans="1:17" x14ac:dyDescent="0.3">
      <c r="A123" s="3">
        <v>122</v>
      </c>
      <c r="B123" s="3" t="s">
        <v>348</v>
      </c>
      <c r="C123" s="4">
        <v>44704</v>
      </c>
      <c r="D123" s="4">
        <v>44706</v>
      </c>
      <c r="E123" s="3" t="s">
        <v>37</v>
      </c>
      <c r="F123" s="3" t="s">
        <v>349</v>
      </c>
      <c r="G123" s="3" t="s">
        <v>30</v>
      </c>
      <c r="H123" s="3" t="s">
        <v>46</v>
      </c>
      <c r="I123" s="3" t="s">
        <v>78</v>
      </c>
      <c r="J123" s="3" t="s">
        <v>79</v>
      </c>
      <c r="K123" s="3" t="s">
        <v>25</v>
      </c>
      <c r="L123" s="3" t="s">
        <v>106</v>
      </c>
      <c r="M123" s="3" t="s">
        <v>107</v>
      </c>
      <c r="N123" s="3">
        <v>2</v>
      </c>
      <c r="O123" s="5">
        <v>0.3</v>
      </c>
      <c r="P123" s="6">
        <v>14.51</v>
      </c>
      <c r="Q123" s="6">
        <v>3.9</v>
      </c>
    </row>
    <row r="124" spans="1:17" x14ac:dyDescent="0.3">
      <c r="A124" s="3">
        <v>123</v>
      </c>
      <c r="B124" s="3" t="s">
        <v>350</v>
      </c>
      <c r="C124" s="4">
        <v>45218</v>
      </c>
      <c r="D124" s="4">
        <v>45221</v>
      </c>
      <c r="E124" s="3" t="s">
        <v>62</v>
      </c>
      <c r="F124" s="3" t="s">
        <v>351</v>
      </c>
      <c r="G124" s="3" t="s">
        <v>30</v>
      </c>
      <c r="H124" s="3" t="s">
        <v>40</v>
      </c>
      <c r="I124" s="3" t="s">
        <v>114</v>
      </c>
      <c r="J124" s="3" t="s">
        <v>115</v>
      </c>
      <c r="K124" s="3" t="s">
        <v>25</v>
      </c>
      <c r="L124" s="3" t="s">
        <v>80</v>
      </c>
      <c r="M124" s="3" t="s">
        <v>150</v>
      </c>
      <c r="N124" s="3">
        <v>8</v>
      </c>
      <c r="O124" s="5">
        <v>0.3</v>
      </c>
      <c r="P124" s="6">
        <v>34.47</v>
      </c>
      <c r="Q124" s="6">
        <v>1.84</v>
      </c>
    </row>
    <row r="125" spans="1:17" x14ac:dyDescent="0.3">
      <c r="A125" s="3">
        <v>124</v>
      </c>
      <c r="B125" s="3" t="s">
        <v>352</v>
      </c>
      <c r="C125" s="4">
        <v>45160</v>
      </c>
      <c r="D125" s="4">
        <v>45163</v>
      </c>
      <c r="E125" s="3" t="s">
        <v>62</v>
      </c>
      <c r="F125" s="3" t="s">
        <v>353</v>
      </c>
      <c r="G125" s="3" t="s">
        <v>30</v>
      </c>
      <c r="H125" s="3" t="s">
        <v>22</v>
      </c>
      <c r="I125" s="3" t="s">
        <v>72</v>
      </c>
      <c r="J125" s="3" t="s">
        <v>73</v>
      </c>
      <c r="K125" s="3" t="s">
        <v>25</v>
      </c>
      <c r="L125" s="3" t="s">
        <v>53</v>
      </c>
      <c r="M125" s="3" t="s">
        <v>171</v>
      </c>
      <c r="N125" s="3">
        <v>9</v>
      </c>
      <c r="O125" s="5">
        <v>0</v>
      </c>
      <c r="P125" s="6">
        <v>26.68</v>
      </c>
      <c r="Q125" s="6">
        <v>0.23</v>
      </c>
    </row>
    <row r="126" spans="1:17" x14ac:dyDescent="0.3">
      <c r="A126" s="3">
        <v>125</v>
      </c>
      <c r="B126" s="3" t="s">
        <v>354</v>
      </c>
      <c r="C126" s="4">
        <v>45330</v>
      </c>
      <c r="D126" s="4">
        <v>45333</v>
      </c>
      <c r="E126" s="3" t="s">
        <v>19</v>
      </c>
      <c r="F126" s="3" t="s">
        <v>355</v>
      </c>
      <c r="G126" s="3" t="s">
        <v>21</v>
      </c>
      <c r="H126" s="3" t="s">
        <v>90</v>
      </c>
      <c r="I126" s="3" t="s">
        <v>169</v>
      </c>
      <c r="J126" s="3" t="s">
        <v>170</v>
      </c>
      <c r="K126" s="3" t="s">
        <v>25</v>
      </c>
      <c r="L126" s="3" t="s">
        <v>26</v>
      </c>
      <c r="M126" s="3" t="s">
        <v>259</v>
      </c>
      <c r="N126" s="3">
        <v>2</v>
      </c>
      <c r="O126" s="5">
        <v>0.4</v>
      </c>
      <c r="P126" s="6">
        <v>83.76</v>
      </c>
      <c r="Q126" s="6">
        <v>17.48</v>
      </c>
    </row>
    <row r="127" spans="1:17" x14ac:dyDescent="0.3">
      <c r="A127" s="3">
        <v>126</v>
      </c>
      <c r="B127" s="3" t="s">
        <v>356</v>
      </c>
      <c r="C127" s="4">
        <v>44945</v>
      </c>
      <c r="D127" s="4">
        <v>44952</v>
      </c>
      <c r="E127" s="3" t="s">
        <v>37</v>
      </c>
      <c r="F127" s="3" t="s">
        <v>357</v>
      </c>
      <c r="G127" s="3" t="s">
        <v>39</v>
      </c>
      <c r="H127" s="3" t="s">
        <v>22</v>
      </c>
      <c r="I127" s="3" t="s">
        <v>84</v>
      </c>
      <c r="J127" s="3" t="s">
        <v>85</v>
      </c>
      <c r="K127" s="3" t="s">
        <v>25</v>
      </c>
      <c r="L127" s="3" t="s">
        <v>106</v>
      </c>
      <c r="M127" s="3" t="s">
        <v>136</v>
      </c>
      <c r="N127" s="3">
        <v>3</v>
      </c>
      <c r="O127" s="5">
        <v>0.3</v>
      </c>
      <c r="P127" s="6">
        <v>69.58</v>
      </c>
      <c r="Q127" s="6">
        <v>3.48</v>
      </c>
    </row>
    <row r="128" spans="1:17" x14ac:dyDescent="0.3">
      <c r="A128" s="3">
        <v>127</v>
      </c>
      <c r="B128" s="3" t="s">
        <v>358</v>
      </c>
      <c r="C128" s="4">
        <v>44868</v>
      </c>
      <c r="D128" s="4">
        <v>44873</v>
      </c>
      <c r="E128" s="3" t="s">
        <v>62</v>
      </c>
      <c r="F128" s="3" t="s">
        <v>241</v>
      </c>
      <c r="G128" s="3" t="s">
        <v>30</v>
      </c>
      <c r="H128" s="3" t="s">
        <v>90</v>
      </c>
      <c r="I128" s="3" t="s">
        <v>91</v>
      </c>
      <c r="J128" s="3" t="s">
        <v>92</v>
      </c>
      <c r="K128" s="3" t="s">
        <v>25</v>
      </c>
      <c r="L128" s="3" t="s">
        <v>80</v>
      </c>
      <c r="M128" s="3" t="s">
        <v>81</v>
      </c>
      <c r="N128" s="3">
        <v>6</v>
      </c>
      <c r="O128" s="5">
        <v>0.15</v>
      </c>
      <c r="P128" s="6">
        <v>121.33</v>
      </c>
      <c r="Q128" s="6">
        <v>12.89</v>
      </c>
    </row>
    <row r="129" spans="1:17" x14ac:dyDescent="0.3">
      <c r="A129" s="3">
        <v>128</v>
      </c>
      <c r="B129" s="3" t="s">
        <v>359</v>
      </c>
      <c r="C129" s="4">
        <v>44827</v>
      </c>
      <c r="D129" s="4">
        <v>44834</v>
      </c>
      <c r="E129" s="3" t="s">
        <v>62</v>
      </c>
      <c r="F129" s="3" t="s">
        <v>119</v>
      </c>
      <c r="G129" s="3" t="s">
        <v>21</v>
      </c>
      <c r="H129" s="3" t="s">
        <v>46</v>
      </c>
      <c r="I129" s="3" t="s">
        <v>281</v>
      </c>
      <c r="J129" s="3" t="s">
        <v>282</v>
      </c>
      <c r="K129" s="3" t="s">
        <v>25</v>
      </c>
      <c r="L129" s="3" t="s">
        <v>74</v>
      </c>
      <c r="M129" s="3" t="s">
        <v>101</v>
      </c>
      <c r="N129" s="3">
        <v>12</v>
      </c>
      <c r="O129" s="5">
        <v>0</v>
      </c>
      <c r="P129" s="6">
        <v>1258.8900000000001</v>
      </c>
      <c r="Q129" s="6">
        <v>136.13999999999999</v>
      </c>
    </row>
    <row r="130" spans="1:17" x14ac:dyDescent="0.3">
      <c r="A130" s="3">
        <v>129</v>
      </c>
      <c r="B130" s="3" t="s">
        <v>360</v>
      </c>
      <c r="C130" s="4">
        <v>44975</v>
      </c>
      <c r="D130" s="4">
        <v>44977</v>
      </c>
      <c r="E130" s="3" t="s">
        <v>37</v>
      </c>
      <c r="F130" s="3" t="s">
        <v>175</v>
      </c>
      <c r="G130" s="3" t="s">
        <v>30</v>
      </c>
      <c r="H130" s="3" t="s">
        <v>90</v>
      </c>
      <c r="I130" s="3" t="s">
        <v>104</v>
      </c>
      <c r="J130" s="3" t="s">
        <v>105</v>
      </c>
      <c r="K130" s="3" t="s">
        <v>25</v>
      </c>
      <c r="L130" s="3" t="s">
        <v>53</v>
      </c>
      <c r="M130" s="3" t="s">
        <v>171</v>
      </c>
      <c r="N130" s="3">
        <v>14</v>
      </c>
      <c r="O130" s="5">
        <v>0</v>
      </c>
      <c r="P130" s="6">
        <v>1152.56</v>
      </c>
      <c r="Q130" s="6">
        <v>107.81</v>
      </c>
    </row>
    <row r="131" spans="1:17" x14ac:dyDescent="0.3">
      <c r="A131" s="3">
        <v>130</v>
      </c>
      <c r="B131" s="3" t="s">
        <v>361</v>
      </c>
      <c r="C131" s="4">
        <v>45224</v>
      </c>
      <c r="D131" s="4">
        <v>45231</v>
      </c>
      <c r="E131" s="3" t="s">
        <v>56</v>
      </c>
      <c r="F131" s="3" t="s">
        <v>362</v>
      </c>
      <c r="G131" s="3" t="s">
        <v>39</v>
      </c>
      <c r="H131" s="3" t="s">
        <v>90</v>
      </c>
      <c r="I131" s="3" t="s">
        <v>104</v>
      </c>
      <c r="J131" s="3" t="s">
        <v>105</v>
      </c>
      <c r="K131" s="3" t="s">
        <v>25</v>
      </c>
      <c r="L131" s="3" t="s">
        <v>26</v>
      </c>
      <c r="M131" s="3" t="s">
        <v>259</v>
      </c>
      <c r="N131" s="3">
        <v>10</v>
      </c>
      <c r="O131" s="5">
        <v>0</v>
      </c>
      <c r="P131" s="6">
        <v>1106.21</v>
      </c>
      <c r="Q131" s="6">
        <v>191.89</v>
      </c>
    </row>
    <row r="132" spans="1:17" x14ac:dyDescent="0.3">
      <c r="A132" s="3">
        <v>131</v>
      </c>
      <c r="B132" s="3" t="s">
        <v>363</v>
      </c>
      <c r="C132" s="4">
        <v>45315</v>
      </c>
      <c r="D132" s="4">
        <v>45318</v>
      </c>
      <c r="E132" s="3" t="s">
        <v>37</v>
      </c>
      <c r="F132" s="3" t="s">
        <v>161</v>
      </c>
      <c r="G132" s="3" t="s">
        <v>39</v>
      </c>
      <c r="H132" s="3" t="s">
        <v>90</v>
      </c>
      <c r="I132" s="3" t="s">
        <v>99</v>
      </c>
      <c r="J132" s="3" t="s">
        <v>100</v>
      </c>
      <c r="K132" s="3" t="s">
        <v>58</v>
      </c>
      <c r="L132" s="3" t="s">
        <v>217</v>
      </c>
      <c r="M132" s="3" t="s">
        <v>218</v>
      </c>
      <c r="N132" s="3">
        <v>11</v>
      </c>
      <c r="O132" s="5">
        <v>0.15</v>
      </c>
      <c r="P132" s="6">
        <v>4126.7299999999996</v>
      </c>
      <c r="Q132" s="6">
        <v>478.89</v>
      </c>
    </row>
    <row r="133" spans="1:17" x14ac:dyDescent="0.3">
      <c r="A133" s="3">
        <v>132</v>
      </c>
      <c r="B133" s="3" t="s">
        <v>364</v>
      </c>
      <c r="C133" s="4">
        <v>45640</v>
      </c>
      <c r="D133" s="4">
        <v>45644</v>
      </c>
      <c r="E133" s="3" t="s">
        <v>37</v>
      </c>
      <c r="F133" s="3" t="s">
        <v>365</v>
      </c>
      <c r="G133" s="3" t="s">
        <v>21</v>
      </c>
      <c r="H133" s="3" t="s">
        <v>40</v>
      </c>
      <c r="I133" s="3" t="s">
        <v>41</v>
      </c>
      <c r="J133" s="3" t="s">
        <v>42</v>
      </c>
      <c r="K133" s="3" t="s">
        <v>58</v>
      </c>
      <c r="L133" s="3" t="s">
        <v>86</v>
      </c>
      <c r="M133" s="3" t="s">
        <v>133</v>
      </c>
      <c r="N133" s="3">
        <v>6</v>
      </c>
      <c r="O133" s="5">
        <v>0.15</v>
      </c>
      <c r="P133" s="6">
        <v>1464.06</v>
      </c>
      <c r="Q133" s="6">
        <v>-113.21</v>
      </c>
    </row>
    <row r="134" spans="1:17" x14ac:dyDescent="0.3">
      <c r="A134" s="3">
        <v>133</v>
      </c>
      <c r="B134" s="3" t="s">
        <v>366</v>
      </c>
      <c r="C134" s="4">
        <v>45102</v>
      </c>
      <c r="D134" s="4">
        <v>45108</v>
      </c>
      <c r="E134" s="3" t="s">
        <v>62</v>
      </c>
      <c r="F134" s="3" t="s">
        <v>367</v>
      </c>
      <c r="G134" s="3" t="s">
        <v>21</v>
      </c>
      <c r="H134" s="3" t="s">
        <v>22</v>
      </c>
      <c r="I134" s="3" t="s">
        <v>72</v>
      </c>
      <c r="J134" s="3" t="s">
        <v>73</v>
      </c>
      <c r="K134" s="3" t="s">
        <v>58</v>
      </c>
      <c r="L134" s="3" t="s">
        <v>59</v>
      </c>
      <c r="M134" s="3" t="s">
        <v>220</v>
      </c>
      <c r="N134" s="3">
        <v>5</v>
      </c>
      <c r="O134" s="5">
        <v>0.1</v>
      </c>
      <c r="P134" s="6">
        <v>1849.06</v>
      </c>
      <c r="Q134" s="6">
        <v>-238.08</v>
      </c>
    </row>
    <row r="135" spans="1:17" x14ac:dyDescent="0.3">
      <c r="A135" s="3">
        <v>134</v>
      </c>
      <c r="B135" s="3" t="s">
        <v>368</v>
      </c>
      <c r="C135" s="4">
        <v>44304</v>
      </c>
      <c r="D135" s="4">
        <v>44305</v>
      </c>
      <c r="E135" s="3" t="s">
        <v>56</v>
      </c>
      <c r="F135" s="3" t="s">
        <v>369</v>
      </c>
      <c r="G135" s="3" t="s">
        <v>21</v>
      </c>
      <c r="H135" s="3" t="s">
        <v>40</v>
      </c>
      <c r="I135" s="3" t="s">
        <v>114</v>
      </c>
      <c r="J135" s="3" t="s">
        <v>115</v>
      </c>
      <c r="K135" s="3" t="s">
        <v>33</v>
      </c>
      <c r="L135" s="3" t="s">
        <v>95</v>
      </c>
      <c r="M135" s="3" t="s">
        <v>370</v>
      </c>
      <c r="N135" s="3">
        <v>7</v>
      </c>
      <c r="O135" s="5">
        <v>0.4</v>
      </c>
      <c r="P135" s="6">
        <v>1527.36</v>
      </c>
      <c r="Q135" s="6">
        <v>-289.7</v>
      </c>
    </row>
    <row r="136" spans="1:17" x14ac:dyDescent="0.3">
      <c r="A136" s="3">
        <v>135</v>
      </c>
      <c r="B136" s="3" t="s">
        <v>371</v>
      </c>
      <c r="C136" s="4">
        <v>44781</v>
      </c>
      <c r="D136" s="4">
        <v>44787</v>
      </c>
      <c r="E136" s="3" t="s">
        <v>56</v>
      </c>
      <c r="F136" s="3" t="s">
        <v>372</v>
      </c>
      <c r="G136" s="3" t="s">
        <v>21</v>
      </c>
      <c r="H136" s="3" t="s">
        <v>90</v>
      </c>
      <c r="I136" s="3" t="s">
        <v>110</v>
      </c>
      <c r="J136" s="3" t="s">
        <v>111</v>
      </c>
      <c r="K136" s="3" t="s">
        <v>25</v>
      </c>
      <c r="L136" s="3" t="s">
        <v>106</v>
      </c>
      <c r="M136" s="3" t="s">
        <v>107</v>
      </c>
      <c r="N136" s="3">
        <v>1</v>
      </c>
      <c r="O136" s="5">
        <v>0</v>
      </c>
      <c r="P136" s="6">
        <v>109.14</v>
      </c>
      <c r="Q136" s="6">
        <v>15.43</v>
      </c>
    </row>
    <row r="137" spans="1:17" x14ac:dyDescent="0.3">
      <c r="A137" s="3">
        <v>136</v>
      </c>
      <c r="B137" s="3" t="s">
        <v>373</v>
      </c>
      <c r="C137" s="4">
        <v>44578</v>
      </c>
      <c r="D137" s="4">
        <v>44584</v>
      </c>
      <c r="E137" s="3" t="s">
        <v>56</v>
      </c>
      <c r="F137" s="3" t="s">
        <v>374</v>
      </c>
      <c r="G137" s="3" t="s">
        <v>30</v>
      </c>
      <c r="H137" s="3" t="s">
        <v>40</v>
      </c>
      <c r="I137" s="3" t="s">
        <v>158</v>
      </c>
      <c r="J137" s="3" t="s">
        <v>159</v>
      </c>
      <c r="K137" s="3" t="s">
        <v>58</v>
      </c>
      <c r="L137" s="3" t="s">
        <v>217</v>
      </c>
      <c r="M137" s="3" t="s">
        <v>218</v>
      </c>
      <c r="N137" s="3">
        <v>14</v>
      </c>
      <c r="O137" s="5">
        <v>0</v>
      </c>
      <c r="P137" s="6">
        <v>6513.34</v>
      </c>
      <c r="Q137" s="6">
        <v>-1592.12</v>
      </c>
    </row>
    <row r="138" spans="1:17" x14ac:dyDescent="0.3">
      <c r="A138" s="3">
        <v>137</v>
      </c>
      <c r="B138" s="3" t="s">
        <v>375</v>
      </c>
      <c r="C138" s="4">
        <v>44874</v>
      </c>
      <c r="D138" s="4">
        <v>44876</v>
      </c>
      <c r="E138" s="3" t="s">
        <v>19</v>
      </c>
      <c r="F138" s="3" t="s">
        <v>374</v>
      </c>
      <c r="G138" s="3" t="s">
        <v>39</v>
      </c>
      <c r="H138" s="3" t="s">
        <v>40</v>
      </c>
      <c r="I138" s="3" t="s">
        <v>223</v>
      </c>
      <c r="J138" s="3" t="s">
        <v>224</v>
      </c>
      <c r="K138" s="3" t="s">
        <v>25</v>
      </c>
      <c r="L138" s="3" t="s">
        <v>26</v>
      </c>
      <c r="M138" s="3" t="s">
        <v>27</v>
      </c>
      <c r="N138" s="3">
        <v>12</v>
      </c>
      <c r="O138" s="5">
        <v>0.15</v>
      </c>
      <c r="P138" s="6">
        <v>643.5</v>
      </c>
      <c r="Q138" s="6">
        <v>116.58</v>
      </c>
    </row>
    <row r="139" spans="1:17" x14ac:dyDescent="0.3">
      <c r="A139" s="3">
        <v>138</v>
      </c>
      <c r="B139" s="3" t="s">
        <v>376</v>
      </c>
      <c r="C139" s="4">
        <v>44815</v>
      </c>
      <c r="D139" s="4">
        <v>44820</v>
      </c>
      <c r="E139" s="3" t="s">
        <v>37</v>
      </c>
      <c r="F139" s="3" t="s">
        <v>377</v>
      </c>
      <c r="G139" s="3" t="s">
        <v>30</v>
      </c>
      <c r="H139" s="3" t="s">
        <v>46</v>
      </c>
      <c r="I139" s="3" t="s">
        <v>146</v>
      </c>
      <c r="J139" s="3" t="s">
        <v>147</v>
      </c>
      <c r="K139" s="3" t="s">
        <v>25</v>
      </c>
      <c r="L139" s="3" t="s">
        <v>106</v>
      </c>
      <c r="M139" s="3" t="s">
        <v>107</v>
      </c>
      <c r="N139" s="3">
        <v>12</v>
      </c>
      <c r="O139" s="5">
        <v>0.15</v>
      </c>
      <c r="P139" s="6">
        <v>797.61</v>
      </c>
      <c r="Q139" s="6">
        <v>113.43</v>
      </c>
    </row>
    <row r="140" spans="1:17" x14ac:dyDescent="0.3">
      <c r="A140" s="3">
        <v>139</v>
      </c>
      <c r="B140" s="3" t="s">
        <v>378</v>
      </c>
      <c r="C140" s="4">
        <v>45610</v>
      </c>
      <c r="D140" s="4">
        <v>45611</v>
      </c>
      <c r="E140" s="3" t="s">
        <v>19</v>
      </c>
      <c r="F140" s="3" t="s">
        <v>379</v>
      </c>
      <c r="G140" s="3" t="s">
        <v>30</v>
      </c>
      <c r="H140" s="3" t="s">
        <v>40</v>
      </c>
      <c r="I140" s="3" t="s">
        <v>185</v>
      </c>
      <c r="J140" s="3" t="s">
        <v>186</v>
      </c>
      <c r="K140" s="3" t="s">
        <v>25</v>
      </c>
      <c r="L140" s="3" t="s">
        <v>53</v>
      </c>
      <c r="M140" s="3" t="s">
        <v>54</v>
      </c>
      <c r="N140" s="3">
        <v>11</v>
      </c>
      <c r="O140" s="5">
        <v>0.15</v>
      </c>
      <c r="P140" s="6">
        <v>1156.6400000000001</v>
      </c>
      <c r="Q140" s="6">
        <v>-34.090000000000003</v>
      </c>
    </row>
    <row r="141" spans="1:17" x14ac:dyDescent="0.3">
      <c r="A141" s="3">
        <v>140</v>
      </c>
      <c r="B141" s="3" t="s">
        <v>380</v>
      </c>
      <c r="C141" s="4">
        <v>45161</v>
      </c>
      <c r="D141" s="4">
        <v>45168</v>
      </c>
      <c r="E141" s="3" t="s">
        <v>37</v>
      </c>
      <c r="F141" s="3" t="s">
        <v>381</v>
      </c>
      <c r="G141" s="3" t="s">
        <v>39</v>
      </c>
      <c r="H141" s="3" t="s">
        <v>90</v>
      </c>
      <c r="I141" s="3" t="s">
        <v>91</v>
      </c>
      <c r="J141" s="3" t="s">
        <v>92</v>
      </c>
      <c r="K141" s="3" t="s">
        <v>25</v>
      </c>
      <c r="L141" s="3" t="s">
        <v>53</v>
      </c>
      <c r="M141" s="3" t="s">
        <v>171</v>
      </c>
      <c r="N141" s="3">
        <v>9</v>
      </c>
      <c r="O141" s="5">
        <v>0.1</v>
      </c>
      <c r="P141" s="6">
        <v>843.63</v>
      </c>
      <c r="Q141" s="6">
        <v>174.73</v>
      </c>
    </row>
    <row r="142" spans="1:17" x14ac:dyDescent="0.3">
      <c r="A142" s="3">
        <v>141</v>
      </c>
      <c r="B142" s="3" t="s">
        <v>382</v>
      </c>
      <c r="C142" s="4">
        <v>44533</v>
      </c>
      <c r="D142" s="4">
        <v>44536</v>
      </c>
      <c r="E142" s="3" t="s">
        <v>62</v>
      </c>
      <c r="F142" s="3" t="s">
        <v>383</v>
      </c>
      <c r="G142" s="3" t="s">
        <v>30</v>
      </c>
      <c r="H142" s="3" t="s">
        <v>22</v>
      </c>
      <c r="I142" s="3" t="s">
        <v>31</v>
      </c>
      <c r="J142" s="3" t="s">
        <v>32</v>
      </c>
      <c r="K142" s="3" t="s">
        <v>33</v>
      </c>
      <c r="L142" s="3" t="s">
        <v>95</v>
      </c>
      <c r="M142" s="3" t="s">
        <v>370</v>
      </c>
      <c r="N142" s="3">
        <v>14</v>
      </c>
      <c r="O142" s="5">
        <v>0</v>
      </c>
      <c r="P142" s="6">
        <v>5267.23</v>
      </c>
      <c r="Q142" s="6">
        <v>833.16</v>
      </c>
    </row>
    <row r="143" spans="1:17" x14ac:dyDescent="0.3">
      <c r="A143" s="3">
        <v>142</v>
      </c>
      <c r="B143" s="3" t="s">
        <v>384</v>
      </c>
      <c r="C143" s="4">
        <v>44315</v>
      </c>
      <c r="D143" s="4">
        <v>44320</v>
      </c>
      <c r="E143" s="3" t="s">
        <v>19</v>
      </c>
      <c r="F143" s="3" t="s">
        <v>385</v>
      </c>
      <c r="G143" s="3" t="s">
        <v>39</v>
      </c>
      <c r="H143" s="3" t="s">
        <v>90</v>
      </c>
      <c r="I143" s="3" t="s">
        <v>104</v>
      </c>
      <c r="J143" s="3" t="s">
        <v>105</v>
      </c>
      <c r="K143" s="3" t="s">
        <v>25</v>
      </c>
      <c r="L143" s="3" t="s">
        <v>74</v>
      </c>
      <c r="M143" s="3" t="s">
        <v>101</v>
      </c>
      <c r="N143" s="3">
        <v>8</v>
      </c>
      <c r="O143" s="5">
        <v>0.15</v>
      </c>
      <c r="P143" s="6">
        <v>621.79</v>
      </c>
      <c r="Q143" s="6">
        <v>114.39</v>
      </c>
    </row>
    <row r="144" spans="1:17" x14ac:dyDescent="0.3">
      <c r="A144" s="3">
        <v>143</v>
      </c>
      <c r="B144" s="3" t="s">
        <v>386</v>
      </c>
      <c r="C144" s="4">
        <v>45305</v>
      </c>
      <c r="D144" s="4">
        <v>45306</v>
      </c>
      <c r="E144" s="3" t="s">
        <v>56</v>
      </c>
      <c r="F144" s="3" t="s">
        <v>387</v>
      </c>
      <c r="G144" s="3" t="s">
        <v>39</v>
      </c>
      <c r="H144" s="3" t="s">
        <v>22</v>
      </c>
      <c r="I144" s="3" t="s">
        <v>23</v>
      </c>
      <c r="J144" s="3" t="s">
        <v>24</v>
      </c>
      <c r="K144" s="3" t="s">
        <v>25</v>
      </c>
      <c r="L144" s="3" t="s">
        <v>53</v>
      </c>
      <c r="M144" s="3" t="s">
        <v>139</v>
      </c>
      <c r="N144" s="3">
        <v>2</v>
      </c>
      <c r="O144" s="5">
        <v>0.4</v>
      </c>
      <c r="P144" s="6">
        <v>208.32</v>
      </c>
      <c r="Q144" s="6">
        <v>-48.11</v>
      </c>
    </row>
    <row r="145" spans="1:17" x14ac:dyDescent="0.3">
      <c r="A145" s="3">
        <v>144</v>
      </c>
      <c r="B145" s="3" t="s">
        <v>388</v>
      </c>
      <c r="C145" s="4">
        <v>44361</v>
      </c>
      <c r="D145" s="4">
        <v>44367</v>
      </c>
      <c r="E145" s="3" t="s">
        <v>56</v>
      </c>
      <c r="F145" s="3" t="s">
        <v>389</v>
      </c>
      <c r="G145" s="3" t="s">
        <v>39</v>
      </c>
      <c r="H145" s="3" t="s">
        <v>46</v>
      </c>
      <c r="I145" s="3" t="s">
        <v>146</v>
      </c>
      <c r="J145" s="3" t="s">
        <v>147</v>
      </c>
      <c r="K145" s="3" t="s">
        <v>25</v>
      </c>
      <c r="L145" s="3" t="s">
        <v>74</v>
      </c>
      <c r="M145" s="3" t="s">
        <v>180</v>
      </c>
      <c r="N145" s="3">
        <v>11</v>
      </c>
      <c r="O145" s="5">
        <v>0</v>
      </c>
      <c r="P145" s="6">
        <v>1157.17</v>
      </c>
      <c r="Q145" s="6">
        <v>164.46</v>
      </c>
    </row>
    <row r="146" spans="1:17" x14ac:dyDescent="0.3">
      <c r="A146" s="3">
        <v>145</v>
      </c>
      <c r="B146" s="3" t="s">
        <v>390</v>
      </c>
      <c r="C146" s="4">
        <v>45145</v>
      </c>
      <c r="D146" s="4">
        <v>45151</v>
      </c>
      <c r="E146" s="3" t="s">
        <v>37</v>
      </c>
      <c r="F146" s="3" t="s">
        <v>391</v>
      </c>
      <c r="G146" s="3" t="s">
        <v>21</v>
      </c>
      <c r="H146" s="3" t="s">
        <v>40</v>
      </c>
      <c r="I146" s="3" t="s">
        <v>114</v>
      </c>
      <c r="J146" s="3" t="s">
        <v>115</v>
      </c>
      <c r="K146" s="3" t="s">
        <v>58</v>
      </c>
      <c r="L146" s="3" t="s">
        <v>59</v>
      </c>
      <c r="M146" s="3" t="s">
        <v>220</v>
      </c>
      <c r="N146" s="3">
        <v>12</v>
      </c>
      <c r="O146" s="5">
        <v>0.3</v>
      </c>
      <c r="P146" s="6">
        <v>3121.91</v>
      </c>
      <c r="Q146" s="6">
        <v>761.8</v>
      </c>
    </row>
    <row r="147" spans="1:17" x14ac:dyDescent="0.3">
      <c r="A147" s="3">
        <v>146</v>
      </c>
      <c r="B147" s="3" t="s">
        <v>392</v>
      </c>
      <c r="C147" s="4">
        <v>44689</v>
      </c>
      <c r="D147" s="4">
        <v>44691</v>
      </c>
      <c r="E147" s="3" t="s">
        <v>56</v>
      </c>
      <c r="F147" s="3" t="s">
        <v>77</v>
      </c>
      <c r="G147" s="3" t="s">
        <v>30</v>
      </c>
      <c r="H147" s="3" t="s">
        <v>40</v>
      </c>
      <c r="I147" s="3" t="s">
        <v>158</v>
      </c>
      <c r="J147" s="3" t="s">
        <v>159</v>
      </c>
      <c r="K147" s="3" t="s">
        <v>33</v>
      </c>
      <c r="L147" s="3" t="s">
        <v>34</v>
      </c>
      <c r="M147" s="3" t="s">
        <v>43</v>
      </c>
      <c r="N147" s="3">
        <v>2</v>
      </c>
      <c r="O147" s="5">
        <v>0</v>
      </c>
      <c r="P147" s="6">
        <v>186.21</v>
      </c>
      <c r="Q147" s="6">
        <v>3.33</v>
      </c>
    </row>
    <row r="148" spans="1:17" x14ac:dyDescent="0.3">
      <c r="A148" s="3">
        <v>147</v>
      </c>
      <c r="B148" s="3" t="s">
        <v>393</v>
      </c>
      <c r="C148" s="4">
        <v>45228</v>
      </c>
      <c r="D148" s="4">
        <v>45231</v>
      </c>
      <c r="E148" s="3" t="s">
        <v>19</v>
      </c>
      <c r="F148" s="3" t="s">
        <v>317</v>
      </c>
      <c r="G148" s="3" t="s">
        <v>21</v>
      </c>
      <c r="H148" s="3" t="s">
        <v>40</v>
      </c>
      <c r="I148" s="3" t="s">
        <v>223</v>
      </c>
      <c r="J148" s="3" t="s">
        <v>224</v>
      </c>
      <c r="K148" s="3" t="s">
        <v>33</v>
      </c>
      <c r="L148" s="3" t="s">
        <v>49</v>
      </c>
      <c r="M148" s="3" t="s">
        <v>208</v>
      </c>
      <c r="N148" s="3">
        <v>4</v>
      </c>
      <c r="O148" s="5">
        <v>0.2</v>
      </c>
      <c r="P148" s="6">
        <v>2164.4699999999998</v>
      </c>
      <c r="Q148" s="6">
        <v>208.84</v>
      </c>
    </row>
    <row r="149" spans="1:17" x14ac:dyDescent="0.3">
      <c r="A149" s="3">
        <v>148</v>
      </c>
      <c r="B149" s="3" t="s">
        <v>394</v>
      </c>
      <c r="C149" s="4">
        <v>45479</v>
      </c>
      <c r="D149" s="4">
        <v>45485</v>
      </c>
      <c r="E149" s="3" t="s">
        <v>56</v>
      </c>
      <c r="F149" s="3" t="s">
        <v>395</v>
      </c>
      <c r="G149" s="3" t="s">
        <v>39</v>
      </c>
      <c r="H149" s="3" t="s">
        <v>90</v>
      </c>
      <c r="I149" s="3" t="s">
        <v>99</v>
      </c>
      <c r="J149" s="3" t="s">
        <v>100</v>
      </c>
      <c r="K149" s="3" t="s">
        <v>25</v>
      </c>
      <c r="L149" s="3" t="s">
        <v>80</v>
      </c>
      <c r="M149" s="3" t="s">
        <v>81</v>
      </c>
      <c r="N149" s="3">
        <v>7</v>
      </c>
      <c r="O149" s="5">
        <v>0</v>
      </c>
      <c r="P149" s="6">
        <v>473.13</v>
      </c>
      <c r="Q149" s="6">
        <v>157.72999999999999</v>
      </c>
    </row>
    <row r="150" spans="1:17" x14ac:dyDescent="0.3">
      <c r="A150" s="3">
        <v>149</v>
      </c>
      <c r="B150" s="3" t="s">
        <v>396</v>
      </c>
      <c r="C150" s="4">
        <v>45166</v>
      </c>
      <c r="D150" s="4">
        <v>45168</v>
      </c>
      <c r="E150" s="3" t="s">
        <v>19</v>
      </c>
      <c r="F150" s="3" t="s">
        <v>130</v>
      </c>
      <c r="G150" s="3" t="s">
        <v>30</v>
      </c>
      <c r="H150" s="3" t="s">
        <v>90</v>
      </c>
      <c r="I150" s="3" t="s">
        <v>104</v>
      </c>
      <c r="J150" s="3" t="s">
        <v>105</v>
      </c>
      <c r="K150" s="3" t="s">
        <v>25</v>
      </c>
      <c r="L150" s="3" t="s">
        <v>26</v>
      </c>
      <c r="M150" s="3" t="s">
        <v>155</v>
      </c>
      <c r="N150" s="3">
        <v>14</v>
      </c>
      <c r="O150" s="5">
        <v>0</v>
      </c>
      <c r="P150" s="6">
        <v>400.27</v>
      </c>
      <c r="Q150" s="6">
        <v>93.45</v>
      </c>
    </row>
    <row r="151" spans="1:17" x14ac:dyDescent="0.3">
      <c r="A151" s="3">
        <v>150</v>
      </c>
      <c r="B151" s="3" t="s">
        <v>397</v>
      </c>
      <c r="C151" s="4">
        <v>44358</v>
      </c>
      <c r="D151" s="4">
        <v>44362</v>
      </c>
      <c r="E151" s="3" t="s">
        <v>62</v>
      </c>
      <c r="F151" s="3" t="s">
        <v>355</v>
      </c>
      <c r="G151" s="3" t="s">
        <v>21</v>
      </c>
      <c r="H151" s="3" t="s">
        <v>90</v>
      </c>
      <c r="I151" s="3" t="s">
        <v>104</v>
      </c>
      <c r="J151" s="3" t="s">
        <v>105</v>
      </c>
      <c r="K151" s="3" t="s">
        <v>25</v>
      </c>
      <c r="L151" s="3" t="s">
        <v>106</v>
      </c>
      <c r="M151" s="3" t="s">
        <v>136</v>
      </c>
      <c r="N151" s="3">
        <v>14</v>
      </c>
      <c r="O151" s="5">
        <v>0.1</v>
      </c>
      <c r="P151" s="6">
        <v>621.79</v>
      </c>
      <c r="Q151" s="6">
        <v>-136.22</v>
      </c>
    </row>
    <row r="152" spans="1:17" x14ac:dyDescent="0.3">
      <c r="A152" s="3">
        <v>151</v>
      </c>
      <c r="B152" s="3" t="s">
        <v>398</v>
      </c>
      <c r="C152" s="4">
        <v>45178</v>
      </c>
      <c r="D152" s="4">
        <v>45180</v>
      </c>
      <c r="E152" s="3" t="s">
        <v>62</v>
      </c>
      <c r="F152" s="3" t="s">
        <v>399</v>
      </c>
      <c r="G152" s="3" t="s">
        <v>39</v>
      </c>
      <c r="H152" s="3" t="s">
        <v>40</v>
      </c>
      <c r="I152" s="3" t="s">
        <v>223</v>
      </c>
      <c r="J152" s="3" t="s">
        <v>224</v>
      </c>
      <c r="K152" s="3" t="s">
        <v>25</v>
      </c>
      <c r="L152" s="3" t="s">
        <v>80</v>
      </c>
      <c r="M152" s="3" t="s">
        <v>81</v>
      </c>
      <c r="N152" s="3">
        <v>14</v>
      </c>
      <c r="O152" s="5">
        <v>0.15</v>
      </c>
      <c r="P152" s="6">
        <v>1457.73</v>
      </c>
      <c r="Q152" s="6">
        <v>472.61</v>
      </c>
    </row>
    <row r="153" spans="1:17" x14ac:dyDescent="0.3">
      <c r="A153" s="3">
        <v>152</v>
      </c>
      <c r="B153" s="3" t="s">
        <v>400</v>
      </c>
      <c r="C153" s="4">
        <v>45009</v>
      </c>
      <c r="D153" s="4">
        <v>45011</v>
      </c>
      <c r="E153" s="3" t="s">
        <v>56</v>
      </c>
      <c r="F153" s="3" t="s">
        <v>401</v>
      </c>
      <c r="G153" s="3" t="s">
        <v>30</v>
      </c>
      <c r="H153" s="3" t="s">
        <v>90</v>
      </c>
      <c r="I153" s="3" t="s">
        <v>104</v>
      </c>
      <c r="J153" s="3" t="s">
        <v>105</v>
      </c>
      <c r="K153" s="3" t="s">
        <v>25</v>
      </c>
      <c r="L153" s="3" t="s">
        <v>53</v>
      </c>
      <c r="M153" s="3" t="s">
        <v>139</v>
      </c>
      <c r="N153" s="3">
        <v>9</v>
      </c>
      <c r="O153" s="5">
        <v>0.15</v>
      </c>
      <c r="P153" s="6">
        <v>343.38</v>
      </c>
      <c r="Q153" s="6">
        <v>-7.42</v>
      </c>
    </row>
    <row r="154" spans="1:17" x14ac:dyDescent="0.3">
      <c r="A154" s="3">
        <v>153</v>
      </c>
      <c r="B154" s="3" t="s">
        <v>402</v>
      </c>
      <c r="C154" s="4">
        <v>44613</v>
      </c>
      <c r="D154" s="4">
        <v>44616</v>
      </c>
      <c r="E154" s="3" t="s">
        <v>56</v>
      </c>
      <c r="F154" s="3" t="s">
        <v>403</v>
      </c>
      <c r="G154" s="3" t="s">
        <v>39</v>
      </c>
      <c r="H154" s="3" t="s">
        <v>90</v>
      </c>
      <c r="I154" s="3" t="s">
        <v>169</v>
      </c>
      <c r="J154" s="3" t="s">
        <v>170</v>
      </c>
      <c r="K154" s="3" t="s">
        <v>58</v>
      </c>
      <c r="L154" s="3" t="s">
        <v>217</v>
      </c>
      <c r="M154" s="3" t="s">
        <v>218</v>
      </c>
      <c r="N154" s="3">
        <v>6</v>
      </c>
      <c r="O154" s="5">
        <v>0.1</v>
      </c>
      <c r="P154" s="6">
        <v>1306.8599999999999</v>
      </c>
      <c r="Q154" s="6">
        <v>254.51</v>
      </c>
    </row>
    <row r="155" spans="1:17" x14ac:dyDescent="0.3">
      <c r="A155" s="3">
        <v>154</v>
      </c>
      <c r="B155" s="3" t="s">
        <v>404</v>
      </c>
      <c r="C155" s="4">
        <v>45363</v>
      </c>
      <c r="D155" s="4">
        <v>45370</v>
      </c>
      <c r="E155" s="3" t="s">
        <v>37</v>
      </c>
      <c r="F155" s="3" t="s">
        <v>268</v>
      </c>
      <c r="G155" s="3" t="s">
        <v>21</v>
      </c>
      <c r="H155" s="3" t="s">
        <v>46</v>
      </c>
      <c r="I155" s="3" t="s">
        <v>78</v>
      </c>
      <c r="J155" s="3" t="s">
        <v>79</v>
      </c>
      <c r="K155" s="3" t="s">
        <v>33</v>
      </c>
      <c r="L155" s="3" t="s">
        <v>95</v>
      </c>
      <c r="M155" s="3" t="s">
        <v>120</v>
      </c>
      <c r="N155" s="3">
        <v>4</v>
      </c>
      <c r="O155" s="5">
        <v>0.2</v>
      </c>
      <c r="P155" s="6">
        <v>1361.23</v>
      </c>
      <c r="Q155" s="6">
        <v>-130.13999999999999</v>
      </c>
    </row>
    <row r="156" spans="1:17" x14ac:dyDescent="0.3">
      <c r="A156" s="3">
        <v>155</v>
      </c>
      <c r="B156" s="3" t="s">
        <v>405</v>
      </c>
      <c r="C156" s="4">
        <v>45307</v>
      </c>
      <c r="D156" s="4">
        <v>45313</v>
      </c>
      <c r="E156" s="3" t="s">
        <v>19</v>
      </c>
      <c r="F156" s="3" t="s">
        <v>313</v>
      </c>
      <c r="G156" s="3" t="s">
        <v>21</v>
      </c>
      <c r="H156" s="3" t="s">
        <v>40</v>
      </c>
      <c r="I156" s="3" t="s">
        <v>114</v>
      </c>
      <c r="J156" s="3" t="s">
        <v>115</v>
      </c>
      <c r="K156" s="3" t="s">
        <v>25</v>
      </c>
      <c r="L156" s="3" t="s">
        <v>74</v>
      </c>
      <c r="M156" s="3" t="s">
        <v>75</v>
      </c>
      <c r="N156" s="3">
        <v>1</v>
      </c>
      <c r="O156" s="5">
        <v>0</v>
      </c>
      <c r="P156" s="6">
        <v>63.83</v>
      </c>
      <c r="Q156" s="6">
        <v>20.239999999999998</v>
      </c>
    </row>
    <row r="157" spans="1:17" x14ac:dyDescent="0.3">
      <c r="A157" s="3">
        <v>156</v>
      </c>
      <c r="B157" s="3" t="s">
        <v>406</v>
      </c>
      <c r="C157" s="4">
        <v>44320</v>
      </c>
      <c r="D157" s="4">
        <v>44325</v>
      </c>
      <c r="E157" s="3" t="s">
        <v>56</v>
      </c>
      <c r="F157" s="3" t="s">
        <v>369</v>
      </c>
      <c r="G157" s="3" t="s">
        <v>39</v>
      </c>
      <c r="H157" s="3" t="s">
        <v>22</v>
      </c>
      <c r="I157" s="3" t="s">
        <v>68</v>
      </c>
      <c r="J157" s="3" t="s">
        <v>69</v>
      </c>
      <c r="K157" s="3" t="s">
        <v>33</v>
      </c>
      <c r="L157" s="3" t="s">
        <v>34</v>
      </c>
      <c r="M157" s="3" t="s">
        <v>254</v>
      </c>
      <c r="N157" s="3">
        <v>11</v>
      </c>
      <c r="O157" s="5">
        <v>0.4</v>
      </c>
      <c r="P157" s="6">
        <v>4598.58</v>
      </c>
      <c r="Q157" s="6">
        <v>669.42</v>
      </c>
    </row>
    <row r="158" spans="1:17" x14ac:dyDescent="0.3">
      <c r="A158" s="3">
        <v>157</v>
      </c>
      <c r="B158" s="3" t="s">
        <v>407</v>
      </c>
      <c r="C158" s="4">
        <v>44784</v>
      </c>
      <c r="D158" s="4">
        <v>44785</v>
      </c>
      <c r="E158" s="3" t="s">
        <v>19</v>
      </c>
      <c r="F158" s="3" t="s">
        <v>408</v>
      </c>
      <c r="G158" s="3" t="s">
        <v>39</v>
      </c>
      <c r="H158" s="3" t="s">
        <v>22</v>
      </c>
      <c r="I158" s="3" t="s">
        <v>23</v>
      </c>
      <c r="J158" s="3" t="s">
        <v>24</v>
      </c>
      <c r="K158" s="3" t="s">
        <v>25</v>
      </c>
      <c r="L158" s="3" t="s">
        <v>106</v>
      </c>
      <c r="M158" s="3" t="s">
        <v>136</v>
      </c>
      <c r="N158" s="3">
        <v>9</v>
      </c>
      <c r="O158" s="5">
        <v>0.3</v>
      </c>
      <c r="P158" s="6">
        <v>802.23</v>
      </c>
      <c r="Q158" s="6">
        <v>187.48</v>
      </c>
    </row>
    <row r="159" spans="1:17" x14ac:dyDescent="0.3">
      <c r="A159" s="3">
        <v>158</v>
      </c>
      <c r="B159" s="3" t="s">
        <v>409</v>
      </c>
      <c r="C159" s="4">
        <v>45171</v>
      </c>
      <c r="D159" s="4">
        <v>45172</v>
      </c>
      <c r="E159" s="3" t="s">
        <v>62</v>
      </c>
      <c r="F159" s="3" t="s">
        <v>410</v>
      </c>
      <c r="G159" s="3" t="s">
        <v>21</v>
      </c>
      <c r="H159" s="3" t="s">
        <v>22</v>
      </c>
      <c r="I159" s="3" t="s">
        <v>23</v>
      </c>
      <c r="J159" s="3" t="s">
        <v>24</v>
      </c>
      <c r="K159" s="3" t="s">
        <v>25</v>
      </c>
      <c r="L159" s="3" t="s">
        <v>74</v>
      </c>
      <c r="M159" s="3" t="s">
        <v>101</v>
      </c>
      <c r="N159" s="3">
        <v>11</v>
      </c>
      <c r="O159" s="5">
        <v>0</v>
      </c>
      <c r="P159" s="6">
        <v>34.270000000000003</v>
      </c>
      <c r="Q159" s="6">
        <v>-6.87</v>
      </c>
    </row>
    <row r="160" spans="1:17" x14ac:dyDescent="0.3">
      <c r="A160" s="3">
        <v>159</v>
      </c>
      <c r="B160" s="3" t="s">
        <v>411</v>
      </c>
      <c r="C160" s="4">
        <v>44292</v>
      </c>
      <c r="D160" s="4">
        <v>44293</v>
      </c>
      <c r="E160" s="3" t="s">
        <v>19</v>
      </c>
      <c r="F160" s="3" t="s">
        <v>412</v>
      </c>
      <c r="G160" s="3" t="s">
        <v>39</v>
      </c>
      <c r="H160" s="3" t="s">
        <v>40</v>
      </c>
      <c r="I160" s="3" t="s">
        <v>114</v>
      </c>
      <c r="J160" s="3" t="s">
        <v>115</v>
      </c>
      <c r="K160" s="3" t="s">
        <v>58</v>
      </c>
      <c r="L160" s="3" t="s">
        <v>217</v>
      </c>
      <c r="M160" s="3" t="s">
        <v>218</v>
      </c>
      <c r="N160" s="3">
        <v>11</v>
      </c>
      <c r="O160" s="5">
        <v>0</v>
      </c>
      <c r="P160" s="6">
        <v>5115.2700000000004</v>
      </c>
      <c r="Q160" s="6">
        <v>-728.35</v>
      </c>
    </row>
    <row r="161" spans="1:17" x14ac:dyDescent="0.3">
      <c r="A161" s="3">
        <v>160</v>
      </c>
      <c r="B161" s="3" t="s">
        <v>413</v>
      </c>
      <c r="C161" s="4">
        <v>45357</v>
      </c>
      <c r="D161" s="4">
        <v>45364</v>
      </c>
      <c r="E161" s="3" t="s">
        <v>37</v>
      </c>
      <c r="F161" s="3" t="s">
        <v>383</v>
      </c>
      <c r="G161" s="3" t="s">
        <v>39</v>
      </c>
      <c r="H161" s="3" t="s">
        <v>90</v>
      </c>
      <c r="I161" s="3" t="s">
        <v>169</v>
      </c>
      <c r="J161" s="3" t="s">
        <v>170</v>
      </c>
      <c r="K161" s="3" t="s">
        <v>25</v>
      </c>
      <c r="L161" s="3" t="s">
        <v>80</v>
      </c>
      <c r="M161" s="3" t="s">
        <v>81</v>
      </c>
      <c r="N161" s="3">
        <v>14</v>
      </c>
      <c r="O161" s="5">
        <v>0.2</v>
      </c>
      <c r="P161" s="6">
        <v>630.63</v>
      </c>
      <c r="Q161" s="6">
        <v>-12.42</v>
      </c>
    </row>
    <row r="162" spans="1:17" x14ac:dyDescent="0.3">
      <c r="A162" s="3">
        <v>161</v>
      </c>
      <c r="B162" s="3" t="s">
        <v>414</v>
      </c>
      <c r="C162" s="4">
        <v>45436</v>
      </c>
      <c r="D162" s="4">
        <v>45443</v>
      </c>
      <c r="E162" s="3" t="s">
        <v>56</v>
      </c>
      <c r="F162" s="3" t="s">
        <v>415</v>
      </c>
      <c r="G162" s="3" t="s">
        <v>30</v>
      </c>
      <c r="H162" s="3" t="s">
        <v>22</v>
      </c>
      <c r="I162" s="3" t="s">
        <v>23</v>
      </c>
      <c r="J162" s="3" t="s">
        <v>24</v>
      </c>
      <c r="K162" s="3" t="s">
        <v>25</v>
      </c>
      <c r="L162" s="3" t="s">
        <v>116</v>
      </c>
      <c r="M162" s="3" t="s">
        <v>166</v>
      </c>
      <c r="N162" s="3">
        <v>10</v>
      </c>
      <c r="O162" s="5">
        <v>0.3</v>
      </c>
      <c r="P162" s="6">
        <v>1043.53</v>
      </c>
      <c r="Q162" s="6">
        <v>345.78</v>
      </c>
    </row>
    <row r="163" spans="1:17" x14ac:dyDescent="0.3">
      <c r="A163" s="3">
        <v>162</v>
      </c>
      <c r="B163" s="3" t="s">
        <v>416</v>
      </c>
      <c r="C163" s="4">
        <v>44577</v>
      </c>
      <c r="D163" s="4">
        <v>44583</v>
      </c>
      <c r="E163" s="3" t="s">
        <v>37</v>
      </c>
      <c r="F163" s="3" t="s">
        <v>417</v>
      </c>
      <c r="G163" s="3" t="s">
        <v>21</v>
      </c>
      <c r="H163" s="3" t="s">
        <v>40</v>
      </c>
      <c r="I163" s="3" t="s">
        <v>41</v>
      </c>
      <c r="J163" s="3" t="s">
        <v>42</v>
      </c>
      <c r="K163" s="3" t="s">
        <v>25</v>
      </c>
      <c r="L163" s="3" t="s">
        <v>74</v>
      </c>
      <c r="M163" s="3" t="s">
        <v>180</v>
      </c>
      <c r="N163" s="3">
        <v>10</v>
      </c>
      <c r="O163" s="5">
        <v>0</v>
      </c>
      <c r="P163" s="6">
        <v>799.59</v>
      </c>
      <c r="Q163" s="6">
        <v>170.55</v>
      </c>
    </row>
    <row r="164" spans="1:17" x14ac:dyDescent="0.3">
      <c r="A164" s="3">
        <v>163</v>
      </c>
      <c r="B164" s="3" t="s">
        <v>418</v>
      </c>
      <c r="C164" s="4">
        <v>44994</v>
      </c>
      <c r="D164" s="4">
        <v>44997</v>
      </c>
      <c r="E164" s="3" t="s">
        <v>19</v>
      </c>
      <c r="F164" s="3" t="s">
        <v>419</v>
      </c>
      <c r="G164" s="3" t="s">
        <v>21</v>
      </c>
      <c r="H164" s="3" t="s">
        <v>40</v>
      </c>
      <c r="I164" s="3" t="s">
        <v>185</v>
      </c>
      <c r="J164" s="3" t="s">
        <v>186</v>
      </c>
      <c r="K164" s="3" t="s">
        <v>25</v>
      </c>
      <c r="L164" s="3" t="s">
        <v>53</v>
      </c>
      <c r="M164" s="3" t="s">
        <v>139</v>
      </c>
      <c r="N164" s="3">
        <v>6</v>
      </c>
      <c r="O164" s="5">
        <v>0</v>
      </c>
      <c r="P164" s="6">
        <v>87.44</v>
      </c>
      <c r="Q164" s="6">
        <v>27.61</v>
      </c>
    </row>
    <row r="165" spans="1:17" x14ac:dyDescent="0.3">
      <c r="A165" s="3">
        <v>164</v>
      </c>
      <c r="B165" s="3" t="s">
        <v>420</v>
      </c>
      <c r="C165" s="4">
        <v>45368</v>
      </c>
      <c r="D165" s="4">
        <v>45373</v>
      </c>
      <c r="E165" s="3" t="s">
        <v>62</v>
      </c>
      <c r="F165" s="3" t="s">
        <v>421</v>
      </c>
      <c r="G165" s="3" t="s">
        <v>21</v>
      </c>
      <c r="H165" s="3" t="s">
        <v>90</v>
      </c>
      <c r="I165" s="3" t="s">
        <v>169</v>
      </c>
      <c r="J165" s="3" t="s">
        <v>170</v>
      </c>
      <c r="K165" s="3" t="s">
        <v>25</v>
      </c>
      <c r="L165" s="3" t="s">
        <v>80</v>
      </c>
      <c r="M165" s="3" t="s">
        <v>81</v>
      </c>
      <c r="N165" s="3">
        <v>3</v>
      </c>
      <c r="O165" s="5">
        <v>0</v>
      </c>
      <c r="P165" s="6">
        <v>248.6</v>
      </c>
      <c r="Q165" s="6">
        <v>-41.44</v>
      </c>
    </row>
    <row r="166" spans="1:17" x14ac:dyDescent="0.3">
      <c r="A166" s="3">
        <v>165</v>
      </c>
      <c r="B166" s="3" t="s">
        <v>422</v>
      </c>
      <c r="C166" s="4">
        <v>44354</v>
      </c>
      <c r="D166" s="4">
        <v>44357</v>
      </c>
      <c r="E166" s="3" t="s">
        <v>37</v>
      </c>
      <c r="F166" s="3" t="s">
        <v>423</v>
      </c>
      <c r="G166" s="3" t="s">
        <v>21</v>
      </c>
      <c r="H166" s="3" t="s">
        <v>40</v>
      </c>
      <c r="I166" s="3" t="s">
        <v>185</v>
      </c>
      <c r="J166" s="3" t="s">
        <v>186</v>
      </c>
      <c r="K166" s="3" t="s">
        <v>25</v>
      </c>
      <c r="L166" s="3" t="s">
        <v>106</v>
      </c>
      <c r="M166" s="3" t="s">
        <v>107</v>
      </c>
      <c r="N166" s="3">
        <v>5</v>
      </c>
      <c r="O166" s="5">
        <v>0.4</v>
      </c>
      <c r="P166" s="6">
        <v>499.04</v>
      </c>
      <c r="Q166" s="6">
        <v>53.04</v>
      </c>
    </row>
    <row r="167" spans="1:17" x14ac:dyDescent="0.3">
      <c r="A167" s="3">
        <v>166</v>
      </c>
      <c r="B167" s="3" t="s">
        <v>424</v>
      </c>
      <c r="C167" s="4">
        <v>44871</v>
      </c>
      <c r="D167" s="4">
        <v>44875</v>
      </c>
      <c r="E167" s="3" t="s">
        <v>56</v>
      </c>
      <c r="F167" s="3" t="s">
        <v>425</v>
      </c>
      <c r="G167" s="3" t="s">
        <v>21</v>
      </c>
      <c r="H167" s="3" t="s">
        <v>22</v>
      </c>
      <c r="I167" s="3" t="s">
        <v>84</v>
      </c>
      <c r="J167" s="3" t="s">
        <v>85</v>
      </c>
      <c r="K167" s="3" t="s">
        <v>25</v>
      </c>
      <c r="L167" s="3" t="s">
        <v>80</v>
      </c>
      <c r="M167" s="3" t="s">
        <v>150</v>
      </c>
      <c r="N167" s="3">
        <v>6</v>
      </c>
      <c r="O167" s="5">
        <v>0</v>
      </c>
      <c r="P167" s="6">
        <v>316.88</v>
      </c>
      <c r="Q167" s="6">
        <v>-22.1</v>
      </c>
    </row>
    <row r="168" spans="1:17" x14ac:dyDescent="0.3">
      <c r="A168" s="3">
        <v>167</v>
      </c>
      <c r="B168" s="3" t="s">
        <v>426</v>
      </c>
      <c r="C168" s="4">
        <v>45376</v>
      </c>
      <c r="D168" s="4">
        <v>45383</v>
      </c>
      <c r="E168" s="3" t="s">
        <v>19</v>
      </c>
      <c r="F168" s="3" t="s">
        <v>427</v>
      </c>
      <c r="G168" s="3" t="s">
        <v>39</v>
      </c>
      <c r="H168" s="3" t="s">
        <v>46</v>
      </c>
      <c r="I168" s="3" t="s">
        <v>281</v>
      </c>
      <c r="J168" s="3" t="s">
        <v>282</v>
      </c>
      <c r="K168" s="3" t="s">
        <v>25</v>
      </c>
      <c r="L168" s="3" t="s">
        <v>53</v>
      </c>
      <c r="M168" s="3" t="s">
        <v>54</v>
      </c>
      <c r="N168" s="3">
        <v>4</v>
      </c>
      <c r="O168" s="5">
        <v>0.15</v>
      </c>
      <c r="P168" s="6">
        <v>154.54</v>
      </c>
      <c r="Q168" s="6">
        <v>37.07</v>
      </c>
    </row>
    <row r="169" spans="1:17" x14ac:dyDescent="0.3">
      <c r="A169" s="3">
        <v>168</v>
      </c>
      <c r="B169" s="3" t="s">
        <v>428</v>
      </c>
      <c r="C169" s="4">
        <v>45094</v>
      </c>
      <c r="D169" s="4">
        <v>45101</v>
      </c>
      <c r="E169" s="3" t="s">
        <v>37</v>
      </c>
      <c r="F169" s="3" t="s">
        <v>429</v>
      </c>
      <c r="G169" s="3" t="s">
        <v>39</v>
      </c>
      <c r="H169" s="3" t="s">
        <v>40</v>
      </c>
      <c r="I169" s="3" t="s">
        <v>223</v>
      </c>
      <c r="J169" s="3" t="s">
        <v>224</v>
      </c>
      <c r="K169" s="3" t="s">
        <v>33</v>
      </c>
      <c r="L169" s="3" t="s">
        <v>34</v>
      </c>
      <c r="M169" s="3" t="s">
        <v>35</v>
      </c>
      <c r="N169" s="3">
        <v>5</v>
      </c>
      <c r="O169" s="5">
        <v>0</v>
      </c>
      <c r="P169" s="6">
        <v>2930.58</v>
      </c>
      <c r="Q169" s="6">
        <v>707.38</v>
      </c>
    </row>
    <row r="170" spans="1:17" x14ac:dyDescent="0.3">
      <c r="A170" s="3">
        <v>169</v>
      </c>
      <c r="B170" s="3" t="s">
        <v>430</v>
      </c>
      <c r="C170" s="4">
        <v>44969</v>
      </c>
      <c r="D170" s="4">
        <v>44970</v>
      </c>
      <c r="E170" s="3" t="s">
        <v>62</v>
      </c>
      <c r="F170" s="3" t="s">
        <v>372</v>
      </c>
      <c r="G170" s="3" t="s">
        <v>30</v>
      </c>
      <c r="H170" s="3" t="s">
        <v>40</v>
      </c>
      <c r="I170" s="3" t="s">
        <v>41</v>
      </c>
      <c r="J170" s="3" t="s">
        <v>42</v>
      </c>
      <c r="K170" s="3" t="s">
        <v>25</v>
      </c>
      <c r="L170" s="3" t="s">
        <v>53</v>
      </c>
      <c r="M170" s="3" t="s">
        <v>54</v>
      </c>
      <c r="N170" s="3">
        <v>8</v>
      </c>
      <c r="O170" s="5">
        <v>0.4</v>
      </c>
      <c r="P170" s="6">
        <v>837.07</v>
      </c>
      <c r="Q170" s="6">
        <v>83.16</v>
      </c>
    </row>
    <row r="171" spans="1:17" x14ac:dyDescent="0.3">
      <c r="A171" s="3">
        <v>170</v>
      </c>
      <c r="B171" s="3" t="s">
        <v>431</v>
      </c>
      <c r="C171" s="4">
        <v>45522</v>
      </c>
      <c r="D171" s="4">
        <v>45527</v>
      </c>
      <c r="E171" s="3" t="s">
        <v>62</v>
      </c>
      <c r="F171" s="3" t="s">
        <v>253</v>
      </c>
      <c r="G171" s="3" t="s">
        <v>21</v>
      </c>
      <c r="H171" s="3" t="s">
        <v>22</v>
      </c>
      <c r="I171" s="3" t="s">
        <v>68</v>
      </c>
      <c r="J171" s="3" t="s">
        <v>69</v>
      </c>
      <c r="K171" s="3" t="s">
        <v>25</v>
      </c>
      <c r="L171" s="3" t="s">
        <v>106</v>
      </c>
      <c r="M171" s="3" t="s">
        <v>123</v>
      </c>
      <c r="N171" s="3">
        <v>1</v>
      </c>
      <c r="O171" s="5">
        <v>0.3</v>
      </c>
      <c r="P171" s="6">
        <v>62.3</v>
      </c>
      <c r="Q171" s="6">
        <v>20.56</v>
      </c>
    </row>
    <row r="172" spans="1:17" x14ac:dyDescent="0.3">
      <c r="A172" s="3">
        <v>171</v>
      </c>
      <c r="B172" s="3" t="s">
        <v>432</v>
      </c>
      <c r="C172" s="4">
        <v>45109</v>
      </c>
      <c r="D172" s="4">
        <v>45112</v>
      </c>
      <c r="E172" s="3" t="s">
        <v>56</v>
      </c>
      <c r="F172" s="3" t="s">
        <v>222</v>
      </c>
      <c r="G172" s="3" t="s">
        <v>30</v>
      </c>
      <c r="H172" s="3" t="s">
        <v>46</v>
      </c>
      <c r="I172" s="3" t="s">
        <v>78</v>
      </c>
      <c r="J172" s="3" t="s">
        <v>79</v>
      </c>
      <c r="K172" s="3" t="s">
        <v>25</v>
      </c>
      <c r="L172" s="3" t="s">
        <v>80</v>
      </c>
      <c r="M172" s="3" t="s">
        <v>81</v>
      </c>
      <c r="N172" s="3">
        <v>7</v>
      </c>
      <c r="O172" s="5">
        <v>0</v>
      </c>
      <c r="P172" s="6">
        <v>396.49</v>
      </c>
      <c r="Q172" s="6">
        <v>-17.059999999999999</v>
      </c>
    </row>
    <row r="173" spans="1:17" x14ac:dyDescent="0.3">
      <c r="A173" s="3">
        <v>172</v>
      </c>
      <c r="B173" s="3" t="s">
        <v>433</v>
      </c>
      <c r="C173" s="4">
        <v>44835</v>
      </c>
      <c r="D173" s="4">
        <v>44838</v>
      </c>
      <c r="E173" s="3" t="s">
        <v>62</v>
      </c>
      <c r="F173" s="3" t="s">
        <v>434</v>
      </c>
      <c r="G173" s="3" t="s">
        <v>30</v>
      </c>
      <c r="H173" s="3" t="s">
        <v>22</v>
      </c>
      <c r="I173" s="3" t="s">
        <v>23</v>
      </c>
      <c r="J173" s="3" t="s">
        <v>24</v>
      </c>
      <c r="K173" s="3" t="s">
        <v>58</v>
      </c>
      <c r="L173" s="3" t="s">
        <v>86</v>
      </c>
      <c r="M173" s="3" t="s">
        <v>211</v>
      </c>
      <c r="N173" s="3">
        <v>8</v>
      </c>
      <c r="O173" s="5">
        <v>0.4</v>
      </c>
      <c r="P173" s="6">
        <v>2806.19</v>
      </c>
      <c r="Q173" s="6">
        <v>-115.11</v>
      </c>
    </row>
    <row r="174" spans="1:17" x14ac:dyDescent="0.3">
      <c r="A174" s="3">
        <v>173</v>
      </c>
      <c r="B174" s="3" t="s">
        <v>435</v>
      </c>
      <c r="C174" s="4">
        <v>44899</v>
      </c>
      <c r="D174" s="4">
        <v>44905</v>
      </c>
      <c r="E174" s="3" t="s">
        <v>19</v>
      </c>
      <c r="F174" s="3" t="s">
        <v>436</v>
      </c>
      <c r="G174" s="3" t="s">
        <v>39</v>
      </c>
      <c r="H174" s="3" t="s">
        <v>46</v>
      </c>
      <c r="I174" s="3" t="s">
        <v>257</v>
      </c>
      <c r="J174" s="3" t="s">
        <v>258</v>
      </c>
      <c r="K174" s="3" t="s">
        <v>58</v>
      </c>
      <c r="L174" s="3" t="s">
        <v>59</v>
      </c>
      <c r="M174" s="3" t="s">
        <v>60</v>
      </c>
      <c r="N174" s="3">
        <v>2</v>
      </c>
      <c r="O174" s="5">
        <v>0</v>
      </c>
      <c r="P174" s="6">
        <v>696.51</v>
      </c>
      <c r="Q174" s="6">
        <v>214.49</v>
      </c>
    </row>
    <row r="175" spans="1:17" x14ac:dyDescent="0.3">
      <c r="A175" s="3">
        <v>174</v>
      </c>
      <c r="B175" s="3" t="s">
        <v>437</v>
      </c>
      <c r="C175" s="4">
        <v>45026</v>
      </c>
      <c r="D175" s="4">
        <v>45032</v>
      </c>
      <c r="E175" s="3" t="s">
        <v>56</v>
      </c>
      <c r="F175" s="3" t="s">
        <v>438</v>
      </c>
      <c r="G175" s="3" t="s">
        <v>30</v>
      </c>
      <c r="H175" s="3" t="s">
        <v>46</v>
      </c>
      <c r="I175" s="3" t="s">
        <v>47</v>
      </c>
      <c r="J175" s="3" t="s">
        <v>48</v>
      </c>
      <c r="K175" s="3" t="s">
        <v>25</v>
      </c>
      <c r="L175" s="3" t="s">
        <v>74</v>
      </c>
      <c r="M175" s="3" t="s">
        <v>75</v>
      </c>
      <c r="N175" s="3">
        <v>3</v>
      </c>
      <c r="O175" s="5">
        <v>0.3</v>
      </c>
      <c r="P175" s="6">
        <v>65.5</v>
      </c>
      <c r="Q175" s="6">
        <v>-0.83</v>
      </c>
    </row>
    <row r="176" spans="1:17" x14ac:dyDescent="0.3">
      <c r="A176" s="3">
        <v>175</v>
      </c>
      <c r="B176" s="3" t="s">
        <v>439</v>
      </c>
      <c r="C176" s="4">
        <v>45296</v>
      </c>
      <c r="D176" s="4">
        <v>45298</v>
      </c>
      <c r="E176" s="3" t="s">
        <v>56</v>
      </c>
      <c r="F176" s="3" t="s">
        <v>395</v>
      </c>
      <c r="G176" s="3" t="s">
        <v>39</v>
      </c>
      <c r="H176" s="3" t="s">
        <v>22</v>
      </c>
      <c r="I176" s="3" t="s">
        <v>68</v>
      </c>
      <c r="J176" s="3" t="s">
        <v>69</v>
      </c>
      <c r="K176" s="3" t="s">
        <v>33</v>
      </c>
      <c r="L176" s="3" t="s">
        <v>49</v>
      </c>
      <c r="M176" s="3" t="s">
        <v>50</v>
      </c>
      <c r="N176" s="3">
        <v>6</v>
      </c>
      <c r="O176" s="5">
        <v>0.4</v>
      </c>
      <c r="P176" s="6">
        <v>1293.81</v>
      </c>
      <c r="Q176" s="6">
        <v>-234.99</v>
      </c>
    </row>
    <row r="177" spans="1:17" x14ac:dyDescent="0.3">
      <c r="A177" s="3">
        <v>176</v>
      </c>
      <c r="B177" s="3" t="s">
        <v>440</v>
      </c>
      <c r="C177" s="4">
        <v>45461</v>
      </c>
      <c r="D177" s="4">
        <v>45463</v>
      </c>
      <c r="E177" s="3" t="s">
        <v>19</v>
      </c>
      <c r="F177" s="3" t="s">
        <v>441</v>
      </c>
      <c r="G177" s="3" t="s">
        <v>21</v>
      </c>
      <c r="H177" s="3" t="s">
        <v>90</v>
      </c>
      <c r="I177" s="3" t="s">
        <v>91</v>
      </c>
      <c r="J177" s="3" t="s">
        <v>92</v>
      </c>
      <c r="K177" s="3" t="s">
        <v>33</v>
      </c>
      <c r="L177" s="3" t="s">
        <v>64</v>
      </c>
      <c r="M177" s="3" t="s">
        <v>269</v>
      </c>
      <c r="N177" s="3">
        <v>14</v>
      </c>
      <c r="O177" s="5">
        <v>0.15</v>
      </c>
      <c r="P177" s="6">
        <v>6413.22</v>
      </c>
      <c r="Q177" s="6">
        <v>1931.72</v>
      </c>
    </row>
    <row r="178" spans="1:17" x14ac:dyDescent="0.3">
      <c r="A178" s="3">
        <v>177</v>
      </c>
      <c r="B178" s="3" t="s">
        <v>442</v>
      </c>
      <c r="C178" s="4">
        <v>45053</v>
      </c>
      <c r="D178" s="4">
        <v>45058</v>
      </c>
      <c r="E178" s="3" t="s">
        <v>37</v>
      </c>
      <c r="F178" s="3" t="s">
        <v>443</v>
      </c>
      <c r="G178" s="3" t="s">
        <v>30</v>
      </c>
      <c r="H178" s="3" t="s">
        <v>46</v>
      </c>
      <c r="I178" s="3" t="s">
        <v>257</v>
      </c>
      <c r="J178" s="3" t="s">
        <v>258</v>
      </c>
      <c r="K178" s="3" t="s">
        <v>33</v>
      </c>
      <c r="L178" s="3" t="s">
        <v>95</v>
      </c>
      <c r="M178" s="3" t="s">
        <v>120</v>
      </c>
      <c r="N178" s="3">
        <v>3</v>
      </c>
      <c r="O178" s="5">
        <v>0.3</v>
      </c>
      <c r="P178" s="6">
        <v>1127.47</v>
      </c>
      <c r="Q178" s="6">
        <v>-156.21</v>
      </c>
    </row>
    <row r="179" spans="1:17" x14ac:dyDescent="0.3">
      <c r="A179" s="3">
        <v>178</v>
      </c>
      <c r="B179" s="3" t="s">
        <v>444</v>
      </c>
      <c r="C179" s="4">
        <v>44306</v>
      </c>
      <c r="D179" s="4">
        <v>44313</v>
      </c>
      <c r="E179" s="3" t="s">
        <v>56</v>
      </c>
      <c r="F179" s="3" t="s">
        <v>445</v>
      </c>
      <c r="G179" s="3" t="s">
        <v>39</v>
      </c>
      <c r="H179" s="3" t="s">
        <v>40</v>
      </c>
      <c r="I179" s="3" t="s">
        <v>114</v>
      </c>
      <c r="J179" s="3" t="s">
        <v>115</v>
      </c>
      <c r="K179" s="3" t="s">
        <v>25</v>
      </c>
      <c r="L179" s="3" t="s">
        <v>74</v>
      </c>
      <c r="M179" s="3" t="s">
        <v>101</v>
      </c>
      <c r="N179" s="3">
        <v>6</v>
      </c>
      <c r="O179" s="5">
        <v>0.4</v>
      </c>
      <c r="P179" s="6">
        <v>603.6</v>
      </c>
      <c r="Q179" s="6">
        <v>-101.45</v>
      </c>
    </row>
    <row r="180" spans="1:17" x14ac:dyDescent="0.3">
      <c r="A180" s="3">
        <v>179</v>
      </c>
      <c r="B180" s="3" t="s">
        <v>446</v>
      </c>
      <c r="C180" s="4">
        <v>44539</v>
      </c>
      <c r="D180" s="4">
        <v>44540</v>
      </c>
      <c r="E180" s="3" t="s">
        <v>19</v>
      </c>
      <c r="F180" s="3" t="s">
        <v>447</v>
      </c>
      <c r="G180" s="3" t="s">
        <v>30</v>
      </c>
      <c r="H180" s="3" t="s">
        <v>90</v>
      </c>
      <c r="I180" s="3" t="s">
        <v>110</v>
      </c>
      <c r="J180" s="3" t="s">
        <v>111</v>
      </c>
      <c r="K180" s="3" t="s">
        <v>25</v>
      </c>
      <c r="L180" s="3" t="s">
        <v>74</v>
      </c>
      <c r="M180" s="3" t="s">
        <v>180</v>
      </c>
      <c r="N180" s="3">
        <v>10</v>
      </c>
      <c r="O180" s="5">
        <v>0.1</v>
      </c>
      <c r="P180" s="6">
        <v>54.72</v>
      </c>
      <c r="Q180" s="6">
        <v>-4.09</v>
      </c>
    </row>
    <row r="181" spans="1:17" x14ac:dyDescent="0.3">
      <c r="A181" s="3">
        <v>180</v>
      </c>
      <c r="B181" s="3" t="s">
        <v>448</v>
      </c>
      <c r="C181" s="4">
        <v>45243</v>
      </c>
      <c r="D181" s="4">
        <v>45244</v>
      </c>
      <c r="E181" s="3" t="s">
        <v>56</v>
      </c>
      <c r="F181" s="3" t="s">
        <v>449</v>
      </c>
      <c r="G181" s="3" t="s">
        <v>21</v>
      </c>
      <c r="H181" s="3" t="s">
        <v>90</v>
      </c>
      <c r="I181" s="3" t="s">
        <v>91</v>
      </c>
      <c r="J181" s="3" t="s">
        <v>92</v>
      </c>
      <c r="K181" s="3" t="s">
        <v>25</v>
      </c>
      <c r="L181" s="3" t="s">
        <v>74</v>
      </c>
      <c r="M181" s="3" t="s">
        <v>101</v>
      </c>
      <c r="N181" s="3">
        <v>10</v>
      </c>
      <c r="O181" s="5">
        <v>0.2</v>
      </c>
      <c r="P181" s="6">
        <v>145.47999999999999</v>
      </c>
      <c r="Q181" s="6">
        <v>10.94</v>
      </c>
    </row>
    <row r="182" spans="1:17" x14ac:dyDescent="0.3">
      <c r="A182" s="3">
        <v>181</v>
      </c>
      <c r="B182" s="3" t="s">
        <v>450</v>
      </c>
      <c r="C182" s="4">
        <v>44735</v>
      </c>
      <c r="D182" s="4">
        <v>44738</v>
      </c>
      <c r="E182" s="3" t="s">
        <v>37</v>
      </c>
      <c r="F182" s="3" t="s">
        <v>451</v>
      </c>
      <c r="G182" s="3" t="s">
        <v>39</v>
      </c>
      <c r="H182" s="3" t="s">
        <v>22</v>
      </c>
      <c r="I182" s="3" t="s">
        <v>68</v>
      </c>
      <c r="J182" s="3" t="s">
        <v>69</v>
      </c>
      <c r="K182" s="3" t="s">
        <v>25</v>
      </c>
      <c r="L182" s="3" t="s">
        <v>116</v>
      </c>
      <c r="M182" s="3" t="s">
        <v>166</v>
      </c>
      <c r="N182" s="3">
        <v>14</v>
      </c>
      <c r="O182" s="5">
        <v>0.4</v>
      </c>
      <c r="P182" s="6">
        <v>1211.97</v>
      </c>
      <c r="Q182" s="6">
        <v>326.23</v>
      </c>
    </row>
    <row r="183" spans="1:17" x14ac:dyDescent="0.3">
      <c r="A183" s="3">
        <v>182</v>
      </c>
      <c r="B183" s="3" t="s">
        <v>452</v>
      </c>
      <c r="C183" s="4">
        <v>44318</v>
      </c>
      <c r="D183" s="4">
        <v>44323</v>
      </c>
      <c r="E183" s="3" t="s">
        <v>62</v>
      </c>
      <c r="F183" s="3" t="s">
        <v>453</v>
      </c>
      <c r="G183" s="3" t="s">
        <v>30</v>
      </c>
      <c r="H183" s="3" t="s">
        <v>90</v>
      </c>
      <c r="I183" s="3" t="s">
        <v>104</v>
      </c>
      <c r="J183" s="3" t="s">
        <v>105</v>
      </c>
      <c r="K183" s="3" t="s">
        <v>25</v>
      </c>
      <c r="L183" s="3" t="s">
        <v>26</v>
      </c>
      <c r="M183" s="3" t="s">
        <v>27</v>
      </c>
      <c r="N183" s="3">
        <v>6</v>
      </c>
      <c r="O183" s="5">
        <v>0</v>
      </c>
      <c r="P183" s="6">
        <v>388.85</v>
      </c>
      <c r="Q183" s="6">
        <v>-21.7</v>
      </c>
    </row>
    <row r="184" spans="1:17" x14ac:dyDescent="0.3">
      <c r="A184" s="3">
        <v>183</v>
      </c>
      <c r="B184" s="3" t="s">
        <v>454</v>
      </c>
      <c r="C184" s="4">
        <v>44456</v>
      </c>
      <c r="D184" s="4">
        <v>44462</v>
      </c>
      <c r="E184" s="3" t="s">
        <v>37</v>
      </c>
      <c r="F184" s="3" t="s">
        <v>321</v>
      </c>
      <c r="G184" s="3" t="s">
        <v>21</v>
      </c>
      <c r="H184" s="3" t="s">
        <v>40</v>
      </c>
      <c r="I184" s="3" t="s">
        <v>185</v>
      </c>
      <c r="J184" s="3" t="s">
        <v>186</v>
      </c>
      <c r="K184" s="3" t="s">
        <v>58</v>
      </c>
      <c r="L184" s="3" t="s">
        <v>199</v>
      </c>
      <c r="M184" s="3" t="s">
        <v>205</v>
      </c>
      <c r="N184" s="3">
        <v>14</v>
      </c>
      <c r="O184" s="5">
        <v>0</v>
      </c>
      <c r="P184" s="6">
        <v>1293.1099999999999</v>
      </c>
      <c r="Q184" s="6">
        <v>228.67</v>
      </c>
    </row>
    <row r="185" spans="1:17" x14ac:dyDescent="0.3">
      <c r="A185" s="3">
        <v>184</v>
      </c>
      <c r="B185" s="3" t="s">
        <v>455</v>
      </c>
      <c r="C185" s="4">
        <v>45022</v>
      </c>
      <c r="D185" s="4">
        <v>45027</v>
      </c>
      <c r="E185" s="3" t="s">
        <v>62</v>
      </c>
      <c r="F185" s="3" t="s">
        <v>410</v>
      </c>
      <c r="G185" s="3" t="s">
        <v>21</v>
      </c>
      <c r="H185" s="3" t="s">
        <v>90</v>
      </c>
      <c r="I185" s="3" t="s">
        <v>110</v>
      </c>
      <c r="J185" s="3" t="s">
        <v>111</v>
      </c>
      <c r="K185" s="3" t="s">
        <v>25</v>
      </c>
      <c r="L185" s="3" t="s">
        <v>53</v>
      </c>
      <c r="M185" s="3" t="s">
        <v>139</v>
      </c>
      <c r="N185" s="3">
        <v>12</v>
      </c>
      <c r="O185" s="5">
        <v>0.2</v>
      </c>
      <c r="P185" s="6">
        <v>392.89</v>
      </c>
      <c r="Q185" s="6">
        <v>8.9600000000000009</v>
      </c>
    </row>
    <row r="186" spans="1:17" x14ac:dyDescent="0.3">
      <c r="A186" s="3">
        <v>185</v>
      </c>
      <c r="B186" s="3" t="s">
        <v>456</v>
      </c>
      <c r="C186" s="4">
        <v>45076</v>
      </c>
      <c r="D186" s="4">
        <v>45083</v>
      </c>
      <c r="E186" s="3" t="s">
        <v>56</v>
      </c>
      <c r="F186" s="3" t="s">
        <v>457</v>
      </c>
      <c r="G186" s="3" t="s">
        <v>21</v>
      </c>
      <c r="H186" s="3" t="s">
        <v>90</v>
      </c>
      <c r="I186" s="3" t="s">
        <v>99</v>
      </c>
      <c r="J186" s="3" t="s">
        <v>100</v>
      </c>
      <c r="K186" s="3" t="s">
        <v>58</v>
      </c>
      <c r="L186" s="3" t="s">
        <v>217</v>
      </c>
      <c r="M186" s="3" t="s">
        <v>232</v>
      </c>
      <c r="N186" s="3">
        <v>4</v>
      </c>
      <c r="O186" s="5">
        <v>0.2</v>
      </c>
      <c r="P186" s="6">
        <v>987.06</v>
      </c>
      <c r="Q186" s="6">
        <v>243.81</v>
      </c>
    </row>
    <row r="187" spans="1:17" x14ac:dyDescent="0.3">
      <c r="A187" s="3">
        <v>186</v>
      </c>
      <c r="B187" s="3" t="s">
        <v>458</v>
      </c>
      <c r="C187" s="4">
        <v>44451</v>
      </c>
      <c r="D187" s="4">
        <v>44458</v>
      </c>
      <c r="E187" s="3" t="s">
        <v>37</v>
      </c>
      <c r="F187" s="3" t="s">
        <v>338</v>
      </c>
      <c r="G187" s="3" t="s">
        <v>39</v>
      </c>
      <c r="H187" s="3" t="s">
        <v>46</v>
      </c>
      <c r="I187" s="3" t="s">
        <v>257</v>
      </c>
      <c r="J187" s="3" t="s">
        <v>258</v>
      </c>
      <c r="K187" s="3" t="s">
        <v>33</v>
      </c>
      <c r="L187" s="3" t="s">
        <v>34</v>
      </c>
      <c r="M187" s="3" t="s">
        <v>43</v>
      </c>
      <c r="N187" s="3">
        <v>3</v>
      </c>
      <c r="O187" s="5">
        <v>0</v>
      </c>
      <c r="P187" s="6">
        <v>968.6</v>
      </c>
      <c r="Q187" s="6">
        <v>334.27</v>
      </c>
    </row>
    <row r="188" spans="1:17" x14ac:dyDescent="0.3">
      <c r="A188" s="3">
        <v>187</v>
      </c>
      <c r="B188" s="3" t="s">
        <v>459</v>
      </c>
      <c r="C188" s="4">
        <v>44365</v>
      </c>
      <c r="D188" s="4">
        <v>44368</v>
      </c>
      <c r="E188" s="3" t="s">
        <v>62</v>
      </c>
      <c r="F188" s="3" t="s">
        <v>460</v>
      </c>
      <c r="G188" s="3" t="s">
        <v>39</v>
      </c>
      <c r="H188" s="3" t="s">
        <v>40</v>
      </c>
      <c r="I188" s="3" t="s">
        <v>41</v>
      </c>
      <c r="J188" s="3" t="s">
        <v>42</v>
      </c>
      <c r="K188" s="3" t="s">
        <v>33</v>
      </c>
      <c r="L188" s="3" t="s">
        <v>64</v>
      </c>
      <c r="M188" s="3" t="s">
        <v>269</v>
      </c>
      <c r="N188" s="3">
        <v>11</v>
      </c>
      <c r="O188" s="5">
        <v>0</v>
      </c>
      <c r="P188" s="6">
        <v>6985.72</v>
      </c>
      <c r="Q188" s="6">
        <v>-1529.37</v>
      </c>
    </row>
    <row r="189" spans="1:17" x14ac:dyDescent="0.3">
      <c r="A189" s="3">
        <v>188</v>
      </c>
      <c r="B189" s="3" t="s">
        <v>461</v>
      </c>
      <c r="C189" s="4">
        <v>45412</v>
      </c>
      <c r="D189" s="4">
        <v>45414</v>
      </c>
      <c r="E189" s="3" t="s">
        <v>19</v>
      </c>
      <c r="F189" s="3" t="s">
        <v>462</v>
      </c>
      <c r="G189" s="3" t="s">
        <v>39</v>
      </c>
      <c r="H189" s="3" t="s">
        <v>22</v>
      </c>
      <c r="I189" s="3" t="s">
        <v>23</v>
      </c>
      <c r="J189" s="3" t="s">
        <v>24</v>
      </c>
      <c r="K189" s="3" t="s">
        <v>33</v>
      </c>
      <c r="L189" s="3" t="s">
        <v>49</v>
      </c>
      <c r="M189" s="3" t="s">
        <v>208</v>
      </c>
      <c r="N189" s="3">
        <v>9</v>
      </c>
      <c r="O189" s="5">
        <v>0</v>
      </c>
      <c r="P189" s="6">
        <v>4355.8999999999996</v>
      </c>
      <c r="Q189" s="6">
        <v>-1067.9000000000001</v>
      </c>
    </row>
    <row r="190" spans="1:17" x14ac:dyDescent="0.3">
      <c r="A190" s="3">
        <v>189</v>
      </c>
      <c r="B190" s="3" t="s">
        <v>463</v>
      </c>
      <c r="C190" s="4">
        <v>44406</v>
      </c>
      <c r="D190" s="4">
        <v>44407</v>
      </c>
      <c r="E190" s="3" t="s">
        <v>62</v>
      </c>
      <c r="F190" s="3" t="s">
        <v>464</v>
      </c>
      <c r="G190" s="3" t="s">
        <v>39</v>
      </c>
      <c r="H190" s="3" t="s">
        <v>90</v>
      </c>
      <c r="I190" s="3" t="s">
        <v>169</v>
      </c>
      <c r="J190" s="3" t="s">
        <v>170</v>
      </c>
      <c r="K190" s="3" t="s">
        <v>25</v>
      </c>
      <c r="L190" s="3" t="s">
        <v>116</v>
      </c>
      <c r="M190" s="3" t="s">
        <v>117</v>
      </c>
      <c r="N190" s="3">
        <v>6</v>
      </c>
      <c r="O190" s="5">
        <v>0.15</v>
      </c>
      <c r="P190" s="6">
        <v>259.98</v>
      </c>
      <c r="Q190" s="6">
        <v>-43.6</v>
      </c>
    </row>
    <row r="191" spans="1:17" x14ac:dyDescent="0.3">
      <c r="A191" s="3">
        <v>190</v>
      </c>
      <c r="B191" s="3" t="s">
        <v>465</v>
      </c>
      <c r="C191" s="4">
        <v>44507</v>
      </c>
      <c r="D191" s="4">
        <v>44511</v>
      </c>
      <c r="E191" s="3" t="s">
        <v>56</v>
      </c>
      <c r="F191" s="3" t="s">
        <v>466</v>
      </c>
      <c r="G191" s="3" t="s">
        <v>39</v>
      </c>
      <c r="H191" s="3" t="s">
        <v>40</v>
      </c>
      <c r="I191" s="3" t="s">
        <v>185</v>
      </c>
      <c r="J191" s="3" t="s">
        <v>186</v>
      </c>
      <c r="K191" s="3" t="s">
        <v>25</v>
      </c>
      <c r="L191" s="3" t="s">
        <v>26</v>
      </c>
      <c r="M191" s="3" t="s">
        <v>155</v>
      </c>
      <c r="N191" s="3">
        <v>10</v>
      </c>
      <c r="O191" s="5">
        <v>0.1</v>
      </c>
      <c r="P191" s="6">
        <v>805.24</v>
      </c>
      <c r="Q191" s="6">
        <v>-159.43</v>
      </c>
    </row>
    <row r="192" spans="1:17" x14ac:dyDescent="0.3">
      <c r="A192" s="3">
        <v>191</v>
      </c>
      <c r="B192" s="3" t="s">
        <v>467</v>
      </c>
      <c r="C192" s="4">
        <v>44764</v>
      </c>
      <c r="D192" s="4">
        <v>44770</v>
      </c>
      <c r="E192" s="3" t="s">
        <v>19</v>
      </c>
      <c r="F192" s="3" t="s">
        <v>468</v>
      </c>
      <c r="G192" s="3" t="s">
        <v>39</v>
      </c>
      <c r="H192" s="3" t="s">
        <v>46</v>
      </c>
      <c r="I192" s="3" t="s">
        <v>146</v>
      </c>
      <c r="J192" s="3" t="s">
        <v>147</v>
      </c>
      <c r="K192" s="3" t="s">
        <v>25</v>
      </c>
      <c r="L192" s="3" t="s">
        <v>26</v>
      </c>
      <c r="M192" s="3" t="s">
        <v>27</v>
      </c>
      <c r="N192" s="3">
        <v>2</v>
      </c>
      <c r="O192" s="5">
        <v>0.15</v>
      </c>
      <c r="P192" s="6">
        <v>59.75</v>
      </c>
      <c r="Q192" s="6">
        <v>12.99</v>
      </c>
    </row>
    <row r="193" spans="1:17" x14ac:dyDescent="0.3">
      <c r="A193" s="3">
        <v>192</v>
      </c>
      <c r="B193" s="3" t="s">
        <v>469</v>
      </c>
      <c r="C193" s="4">
        <v>44987</v>
      </c>
      <c r="D193" s="4">
        <v>44988</v>
      </c>
      <c r="E193" s="3" t="s">
        <v>56</v>
      </c>
      <c r="F193" s="3" t="s">
        <v>470</v>
      </c>
      <c r="G193" s="3" t="s">
        <v>21</v>
      </c>
      <c r="H193" s="3" t="s">
        <v>90</v>
      </c>
      <c r="I193" s="3" t="s">
        <v>99</v>
      </c>
      <c r="J193" s="3" t="s">
        <v>100</v>
      </c>
      <c r="K193" s="3" t="s">
        <v>25</v>
      </c>
      <c r="L193" s="3" t="s">
        <v>26</v>
      </c>
      <c r="M193" s="3" t="s">
        <v>259</v>
      </c>
      <c r="N193" s="3">
        <v>4</v>
      </c>
      <c r="O193" s="5">
        <v>0</v>
      </c>
      <c r="P193" s="6">
        <v>243.8</v>
      </c>
      <c r="Q193" s="6">
        <v>16.329999999999998</v>
      </c>
    </row>
    <row r="194" spans="1:17" x14ac:dyDescent="0.3">
      <c r="A194" s="3">
        <v>193</v>
      </c>
      <c r="B194" s="3" t="s">
        <v>471</v>
      </c>
      <c r="C194" s="4">
        <v>44346</v>
      </c>
      <c r="D194" s="4">
        <v>44347</v>
      </c>
      <c r="E194" s="3" t="s">
        <v>56</v>
      </c>
      <c r="F194" s="3" t="s">
        <v>472</v>
      </c>
      <c r="G194" s="3" t="s">
        <v>30</v>
      </c>
      <c r="H194" s="3" t="s">
        <v>90</v>
      </c>
      <c r="I194" s="3" t="s">
        <v>99</v>
      </c>
      <c r="J194" s="3" t="s">
        <v>100</v>
      </c>
      <c r="K194" s="3" t="s">
        <v>25</v>
      </c>
      <c r="L194" s="3" t="s">
        <v>26</v>
      </c>
      <c r="M194" s="3" t="s">
        <v>259</v>
      </c>
      <c r="N194" s="3">
        <v>10</v>
      </c>
      <c r="O194" s="5">
        <v>0.15</v>
      </c>
      <c r="P194" s="6">
        <v>95.2</v>
      </c>
      <c r="Q194" s="6">
        <v>-11.48</v>
      </c>
    </row>
    <row r="195" spans="1:17" x14ac:dyDescent="0.3">
      <c r="A195" s="3">
        <v>194</v>
      </c>
      <c r="B195" s="3" t="s">
        <v>473</v>
      </c>
      <c r="C195" s="4">
        <v>44368</v>
      </c>
      <c r="D195" s="4">
        <v>44371</v>
      </c>
      <c r="E195" s="3" t="s">
        <v>62</v>
      </c>
      <c r="F195" s="3" t="s">
        <v>362</v>
      </c>
      <c r="G195" s="3" t="s">
        <v>30</v>
      </c>
      <c r="H195" s="3" t="s">
        <v>90</v>
      </c>
      <c r="I195" s="3" t="s">
        <v>110</v>
      </c>
      <c r="J195" s="3" t="s">
        <v>111</v>
      </c>
      <c r="K195" s="3" t="s">
        <v>33</v>
      </c>
      <c r="L195" s="3" t="s">
        <v>95</v>
      </c>
      <c r="M195" s="3" t="s">
        <v>96</v>
      </c>
      <c r="N195" s="3">
        <v>2</v>
      </c>
      <c r="O195" s="5">
        <v>0.1</v>
      </c>
      <c r="P195" s="6">
        <v>718.05</v>
      </c>
      <c r="Q195" s="6">
        <v>240.25</v>
      </c>
    </row>
    <row r="196" spans="1:17" x14ac:dyDescent="0.3">
      <c r="A196" s="3">
        <v>195</v>
      </c>
      <c r="B196" s="3" t="s">
        <v>474</v>
      </c>
      <c r="C196" s="4">
        <v>44697</v>
      </c>
      <c r="D196" s="4">
        <v>44698</v>
      </c>
      <c r="E196" s="3" t="s">
        <v>19</v>
      </c>
      <c r="F196" s="3" t="s">
        <v>475</v>
      </c>
      <c r="G196" s="3" t="s">
        <v>39</v>
      </c>
      <c r="H196" s="3" t="s">
        <v>46</v>
      </c>
      <c r="I196" s="3" t="s">
        <v>146</v>
      </c>
      <c r="J196" s="3" t="s">
        <v>147</v>
      </c>
      <c r="K196" s="3" t="s">
        <v>25</v>
      </c>
      <c r="L196" s="3" t="s">
        <v>26</v>
      </c>
      <c r="M196" s="3" t="s">
        <v>27</v>
      </c>
      <c r="N196" s="3">
        <v>7</v>
      </c>
      <c r="O196" s="5">
        <v>0</v>
      </c>
      <c r="P196" s="6">
        <v>109.8</v>
      </c>
      <c r="Q196" s="6">
        <v>-7.07</v>
      </c>
    </row>
    <row r="197" spans="1:17" x14ac:dyDescent="0.3">
      <c r="A197" s="3">
        <v>196</v>
      </c>
      <c r="B197" s="3" t="s">
        <v>476</v>
      </c>
      <c r="C197" s="4">
        <v>45129</v>
      </c>
      <c r="D197" s="4">
        <v>45134</v>
      </c>
      <c r="E197" s="3" t="s">
        <v>62</v>
      </c>
      <c r="F197" s="3" t="s">
        <v>477</v>
      </c>
      <c r="G197" s="3" t="s">
        <v>39</v>
      </c>
      <c r="H197" s="3" t="s">
        <v>46</v>
      </c>
      <c r="I197" s="3" t="s">
        <v>47</v>
      </c>
      <c r="J197" s="3" t="s">
        <v>48</v>
      </c>
      <c r="K197" s="3" t="s">
        <v>33</v>
      </c>
      <c r="L197" s="3" t="s">
        <v>49</v>
      </c>
      <c r="M197" s="3" t="s">
        <v>478</v>
      </c>
      <c r="N197" s="3">
        <v>6</v>
      </c>
      <c r="O197" s="5">
        <v>0</v>
      </c>
      <c r="P197" s="6">
        <v>374.53</v>
      </c>
      <c r="Q197" s="6">
        <v>-11.01</v>
      </c>
    </row>
    <row r="198" spans="1:17" x14ac:dyDescent="0.3">
      <c r="A198" s="3">
        <v>197</v>
      </c>
      <c r="B198" s="3" t="s">
        <v>479</v>
      </c>
      <c r="C198" s="4">
        <v>44291</v>
      </c>
      <c r="D198" s="4">
        <v>44295</v>
      </c>
      <c r="E198" s="3" t="s">
        <v>37</v>
      </c>
      <c r="F198" s="3" t="s">
        <v>130</v>
      </c>
      <c r="G198" s="3" t="s">
        <v>21</v>
      </c>
      <c r="H198" s="3" t="s">
        <v>40</v>
      </c>
      <c r="I198" s="3" t="s">
        <v>223</v>
      </c>
      <c r="J198" s="3" t="s">
        <v>224</v>
      </c>
      <c r="K198" s="3" t="s">
        <v>33</v>
      </c>
      <c r="L198" s="3" t="s">
        <v>49</v>
      </c>
      <c r="M198" s="3" t="s">
        <v>208</v>
      </c>
      <c r="N198" s="3">
        <v>6</v>
      </c>
      <c r="O198" s="5">
        <v>0</v>
      </c>
      <c r="P198" s="6">
        <v>1701.07</v>
      </c>
      <c r="Q198" s="6">
        <v>-242.61</v>
      </c>
    </row>
    <row r="199" spans="1:17" x14ac:dyDescent="0.3">
      <c r="A199" s="3">
        <v>198</v>
      </c>
      <c r="B199" s="3" t="s">
        <v>480</v>
      </c>
      <c r="C199" s="4">
        <v>44356</v>
      </c>
      <c r="D199" s="4">
        <v>44361</v>
      </c>
      <c r="E199" s="3" t="s">
        <v>37</v>
      </c>
      <c r="F199" s="3" t="s">
        <v>38</v>
      </c>
      <c r="G199" s="3" t="s">
        <v>30</v>
      </c>
      <c r="H199" s="3" t="s">
        <v>40</v>
      </c>
      <c r="I199" s="3" t="s">
        <v>185</v>
      </c>
      <c r="J199" s="3" t="s">
        <v>186</v>
      </c>
      <c r="K199" s="3" t="s">
        <v>58</v>
      </c>
      <c r="L199" s="3" t="s">
        <v>199</v>
      </c>
      <c r="M199" s="3" t="s">
        <v>200</v>
      </c>
      <c r="N199" s="3">
        <v>6</v>
      </c>
      <c r="O199" s="5">
        <v>0</v>
      </c>
      <c r="P199" s="6">
        <v>516.71</v>
      </c>
      <c r="Q199" s="6">
        <v>-73.58</v>
      </c>
    </row>
    <row r="200" spans="1:17" x14ac:dyDescent="0.3">
      <c r="A200" s="3">
        <v>199</v>
      </c>
      <c r="B200" s="3" t="s">
        <v>481</v>
      </c>
      <c r="C200" s="4">
        <v>44952</v>
      </c>
      <c r="D200" s="4">
        <v>44954</v>
      </c>
      <c r="E200" s="3" t="s">
        <v>56</v>
      </c>
      <c r="F200" s="3" t="s">
        <v>391</v>
      </c>
      <c r="G200" s="3" t="s">
        <v>39</v>
      </c>
      <c r="H200" s="3" t="s">
        <v>46</v>
      </c>
      <c r="I200" s="3" t="s">
        <v>281</v>
      </c>
      <c r="J200" s="3" t="s">
        <v>282</v>
      </c>
      <c r="K200" s="3" t="s">
        <v>33</v>
      </c>
      <c r="L200" s="3" t="s">
        <v>34</v>
      </c>
      <c r="M200" s="3" t="s">
        <v>43</v>
      </c>
      <c r="N200" s="3">
        <v>5</v>
      </c>
      <c r="O200" s="5">
        <v>0.15</v>
      </c>
      <c r="P200" s="6">
        <v>1936.59</v>
      </c>
      <c r="Q200" s="6">
        <v>375.21</v>
      </c>
    </row>
    <row r="201" spans="1:17" x14ac:dyDescent="0.3">
      <c r="A201" s="3">
        <v>200</v>
      </c>
      <c r="B201" s="3" t="s">
        <v>482</v>
      </c>
      <c r="C201" s="4">
        <v>44210</v>
      </c>
      <c r="D201" s="4">
        <v>44214</v>
      </c>
      <c r="E201" s="3" t="s">
        <v>56</v>
      </c>
      <c r="F201" s="3" t="s">
        <v>483</v>
      </c>
      <c r="G201" s="3" t="s">
        <v>39</v>
      </c>
      <c r="H201" s="3" t="s">
        <v>40</v>
      </c>
      <c r="I201" s="3" t="s">
        <v>223</v>
      </c>
      <c r="J201" s="3" t="s">
        <v>224</v>
      </c>
      <c r="K201" s="3" t="s">
        <v>25</v>
      </c>
      <c r="L201" s="3" t="s">
        <v>26</v>
      </c>
      <c r="M201" s="3" t="s">
        <v>27</v>
      </c>
      <c r="N201" s="3">
        <v>1</v>
      </c>
      <c r="O201" s="5">
        <v>0.2</v>
      </c>
      <c r="P201" s="6">
        <v>27.72</v>
      </c>
      <c r="Q201" s="6">
        <v>3.65</v>
      </c>
    </row>
    <row r="202" spans="1:17" x14ac:dyDescent="0.3">
      <c r="A202" s="3">
        <v>201</v>
      </c>
      <c r="B202" s="3" t="s">
        <v>484</v>
      </c>
      <c r="C202" s="4">
        <v>45204</v>
      </c>
      <c r="D202" s="4">
        <v>45205</v>
      </c>
      <c r="E202" s="3" t="s">
        <v>37</v>
      </c>
      <c r="F202" s="3" t="s">
        <v>340</v>
      </c>
      <c r="G202" s="3" t="s">
        <v>39</v>
      </c>
      <c r="H202" s="3" t="s">
        <v>46</v>
      </c>
      <c r="I202" s="3" t="s">
        <v>257</v>
      </c>
      <c r="J202" s="3" t="s">
        <v>258</v>
      </c>
      <c r="K202" s="3" t="s">
        <v>33</v>
      </c>
      <c r="L202" s="3" t="s">
        <v>95</v>
      </c>
      <c r="M202" s="3" t="s">
        <v>120</v>
      </c>
      <c r="N202" s="3">
        <v>3</v>
      </c>
      <c r="O202" s="5">
        <v>0</v>
      </c>
      <c r="P202" s="6">
        <v>1516.1</v>
      </c>
      <c r="Q202" s="6">
        <v>-339.09</v>
      </c>
    </row>
    <row r="203" spans="1:17" x14ac:dyDescent="0.3">
      <c r="A203" s="3">
        <v>202</v>
      </c>
      <c r="B203" s="3" t="s">
        <v>485</v>
      </c>
      <c r="C203" s="4">
        <v>45502</v>
      </c>
      <c r="D203" s="4">
        <v>45509</v>
      </c>
      <c r="E203" s="3" t="s">
        <v>37</v>
      </c>
      <c r="F203" s="3" t="s">
        <v>317</v>
      </c>
      <c r="G203" s="3" t="s">
        <v>30</v>
      </c>
      <c r="H203" s="3" t="s">
        <v>90</v>
      </c>
      <c r="I203" s="3" t="s">
        <v>169</v>
      </c>
      <c r="J203" s="3" t="s">
        <v>170</v>
      </c>
      <c r="K203" s="3" t="s">
        <v>25</v>
      </c>
      <c r="L203" s="3" t="s">
        <v>80</v>
      </c>
      <c r="M203" s="3" t="s">
        <v>81</v>
      </c>
      <c r="N203" s="3">
        <v>7</v>
      </c>
      <c r="O203" s="5">
        <v>0</v>
      </c>
      <c r="P203" s="6">
        <v>75.81</v>
      </c>
      <c r="Q203" s="6">
        <v>0.83</v>
      </c>
    </row>
    <row r="204" spans="1:17" x14ac:dyDescent="0.3">
      <c r="A204" s="3">
        <v>203</v>
      </c>
      <c r="B204" s="3" t="s">
        <v>486</v>
      </c>
      <c r="C204" s="4">
        <v>44349</v>
      </c>
      <c r="D204" s="4">
        <v>44351</v>
      </c>
      <c r="E204" s="3" t="s">
        <v>56</v>
      </c>
      <c r="F204" s="3" t="s">
        <v>434</v>
      </c>
      <c r="G204" s="3" t="s">
        <v>30</v>
      </c>
      <c r="H204" s="3" t="s">
        <v>90</v>
      </c>
      <c r="I204" s="3" t="s">
        <v>99</v>
      </c>
      <c r="J204" s="3" t="s">
        <v>100</v>
      </c>
      <c r="K204" s="3" t="s">
        <v>25</v>
      </c>
      <c r="L204" s="3" t="s">
        <v>106</v>
      </c>
      <c r="M204" s="3" t="s">
        <v>123</v>
      </c>
      <c r="N204" s="3">
        <v>3</v>
      </c>
      <c r="O204" s="5">
        <v>0</v>
      </c>
      <c r="P204" s="6">
        <v>282.10000000000002</v>
      </c>
      <c r="Q204" s="6">
        <v>-44.22</v>
      </c>
    </row>
    <row r="205" spans="1:17" x14ac:dyDescent="0.3">
      <c r="A205" s="3">
        <v>204</v>
      </c>
      <c r="B205" s="3" t="s">
        <v>487</v>
      </c>
      <c r="C205" s="4">
        <v>44828</v>
      </c>
      <c r="D205" s="4">
        <v>44832</v>
      </c>
      <c r="E205" s="3" t="s">
        <v>37</v>
      </c>
      <c r="F205" s="3" t="s">
        <v>488</v>
      </c>
      <c r="G205" s="3" t="s">
        <v>21</v>
      </c>
      <c r="H205" s="3" t="s">
        <v>22</v>
      </c>
      <c r="I205" s="3" t="s">
        <v>31</v>
      </c>
      <c r="J205" s="3" t="s">
        <v>32</v>
      </c>
      <c r="K205" s="3" t="s">
        <v>25</v>
      </c>
      <c r="L205" s="3" t="s">
        <v>26</v>
      </c>
      <c r="M205" s="3" t="s">
        <v>259</v>
      </c>
      <c r="N205" s="3">
        <v>5</v>
      </c>
      <c r="O205" s="5">
        <v>0</v>
      </c>
      <c r="P205" s="6">
        <v>512.96</v>
      </c>
      <c r="Q205" s="6">
        <v>-79.73</v>
      </c>
    </row>
    <row r="206" spans="1:17" x14ac:dyDescent="0.3">
      <c r="A206" s="3">
        <v>205</v>
      </c>
      <c r="B206" s="3" t="s">
        <v>489</v>
      </c>
      <c r="C206" s="4">
        <v>45248</v>
      </c>
      <c r="D206" s="4">
        <v>45249</v>
      </c>
      <c r="E206" s="3" t="s">
        <v>19</v>
      </c>
      <c r="F206" s="3" t="s">
        <v>449</v>
      </c>
      <c r="G206" s="3" t="s">
        <v>39</v>
      </c>
      <c r="H206" s="3" t="s">
        <v>40</v>
      </c>
      <c r="I206" s="3" t="s">
        <v>158</v>
      </c>
      <c r="J206" s="3" t="s">
        <v>159</v>
      </c>
      <c r="K206" s="3" t="s">
        <v>25</v>
      </c>
      <c r="L206" s="3" t="s">
        <v>106</v>
      </c>
      <c r="M206" s="3" t="s">
        <v>107</v>
      </c>
      <c r="N206" s="3">
        <v>11</v>
      </c>
      <c r="O206" s="5">
        <v>0</v>
      </c>
      <c r="P206" s="6">
        <v>409.9</v>
      </c>
      <c r="Q206" s="6">
        <v>-94.83</v>
      </c>
    </row>
    <row r="207" spans="1:17" x14ac:dyDescent="0.3">
      <c r="A207" s="3">
        <v>206</v>
      </c>
      <c r="B207" s="3" t="s">
        <v>490</v>
      </c>
      <c r="C207" s="4">
        <v>45105</v>
      </c>
      <c r="D207" s="4">
        <v>45112</v>
      </c>
      <c r="E207" s="3" t="s">
        <v>56</v>
      </c>
      <c r="F207" s="3" t="s">
        <v>210</v>
      </c>
      <c r="G207" s="3" t="s">
        <v>39</v>
      </c>
      <c r="H207" s="3" t="s">
        <v>22</v>
      </c>
      <c r="I207" s="3" t="s">
        <v>23</v>
      </c>
      <c r="J207" s="3" t="s">
        <v>24</v>
      </c>
      <c r="K207" s="3" t="s">
        <v>58</v>
      </c>
      <c r="L207" s="3" t="s">
        <v>86</v>
      </c>
      <c r="M207" s="3" t="s">
        <v>133</v>
      </c>
      <c r="N207" s="3">
        <v>3</v>
      </c>
      <c r="O207" s="5">
        <v>0.2</v>
      </c>
      <c r="P207" s="6">
        <v>206.51</v>
      </c>
      <c r="Q207" s="6">
        <v>-36.450000000000003</v>
      </c>
    </row>
    <row r="208" spans="1:17" x14ac:dyDescent="0.3">
      <c r="A208" s="3">
        <v>207</v>
      </c>
      <c r="B208" s="3" t="s">
        <v>491</v>
      </c>
      <c r="C208" s="4">
        <v>44921</v>
      </c>
      <c r="D208" s="4">
        <v>44923</v>
      </c>
      <c r="E208" s="3" t="s">
        <v>19</v>
      </c>
      <c r="F208" s="3" t="s">
        <v>355</v>
      </c>
      <c r="G208" s="3" t="s">
        <v>39</v>
      </c>
      <c r="H208" s="3" t="s">
        <v>90</v>
      </c>
      <c r="I208" s="3" t="s">
        <v>110</v>
      </c>
      <c r="J208" s="3" t="s">
        <v>111</v>
      </c>
      <c r="K208" s="3" t="s">
        <v>33</v>
      </c>
      <c r="L208" s="3" t="s">
        <v>34</v>
      </c>
      <c r="M208" s="3" t="s">
        <v>35</v>
      </c>
      <c r="N208" s="3">
        <v>3</v>
      </c>
      <c r="O208" s="5">
        <v>0.4</v>
      </c>
      <c r="P208" s="6">
        <v>556.02</v>
      </c>
      <c r="Q208" s="6">
        <v>155.72</v>
      </c>
    </row>
    <row r="209" spans="1:17" x14ac:dyDescent="0.3">
      <c r="A209" s="3">
        <v>208</v>
      </c>
      <c r="B209" s="3" t="s">
        <v>492</v>
      </c>
      <c r="C209" s="4">
        <v>44321</v>
      </c>
      <c r="D209" s="4">
        <v>44322</v>
      </c>
      <c r="E209" s="3" t="s">
        <v>37</v>
      </c>
      <c r="F209" s="3" t="s">
        <v>493</v>
      </c>
      <c r="G209" s="3" t="s">
        <v>30</v>
      </c>
      <c r="H209" s="3" t="s">
        <v>46</v>
      </c>
      <c r="I209" s="3" t="s">
        <v>146</v>
      </c>
      <c r="J209" s="3" t="s">
        <v>147</v>
      </c>
      <c r="K209" s="3" t="s">
        <v>25</v>
      </c>
      <c r="L209" s="3" t="s">
        <v>80</v>
      </c>
      <c r="M209" s="3" t="s">
        <v>150</v>
      </c>
      <c r="N209" s="3">
        <v>5</v>
      </c>
      <c r="O209" s="5">
        <v>0.3</v>
      </c>
      <c r="P209" s="6">
        <v>214.74</v>
      </c>
      <c r="Q209" s="6">
        <v>-27.99</v>
      </c>
    </row>
    <row r="210" spans="1:17" x14ac:dyDescent="0.3">
      <c r="A210" s="3">
        <v>209</v>
      </c>
      <c r="B210" s="3" t="s">
        <v>494</v>
      </c>
      <c r="C210" s="4">
        <v>45225</v>
      </c>
      <c r="D210" s="4">
        <v>45228</v>
      </c>
      <c r="E210" s="3" t="s">
        <v>56</v>
      </c>
      <c r="F210" s="3" t="s">
        <v>415</v>
      </c>
      <c r="G210" s="3" t="s">
        <v>21</v>
      </c>
      <c r="H210" s="3" t="s">
        <v>90</v>
      </c>
      <c r="I210" s="3" t="s">
        <v>91</v>
      </c>
      <c r="J210" s="3" t="s">
        <v>92</v>
      </c>
      <c r="K210" s="3" t="s">
        <v>58</v>
      </c>
      <c r="L210" s="3" t="s">
        <v>199</v>
      </c>
      <c r="M210" s="3" t="s">
        <v>205</v>
      </c>
      <c r="N210" s="3">
        <v>7</v>
      </c>
      <c r="O210" s="5">
        <v>0</v>
      </c>
      <c r="P210" s="6">
        <v>1099.73</v>
      </c>
      <c r="Q210" s="6">
        <v>-64.52</v>
      </c>
    </row>
    <row r="211" spans="1:17" x14ac:dyDescent="0.3">
      <c r="A211" s="3">
        <v>210</v>
      </c>
      <c r="B211" s="3" t="s">
        <v>495</v>
      </c>
      <c r="C211" s="4">
        <v>44704</v>
      </c>
      <c r="D211" s="4">
        <v>44710</v>
      </c>
      <c r="E211" s="3" t="s">
        <v>19</v>
      </c>
      <c r="F211" s="3" t="s">
        <v>496</v>
      </c>
      <c r="G211" s="3" t="s">
        <v>30</v>
      </c>
      <c r="H211" s="3" t="s">
        <v>46</v>
      </c>
      <c r="I211" s="3" t="s">
        <v>47</v>
      </c>
      <c r="J211" s="3" t="s">
        <v>48</v>
      </c>
      <c r="K211" s="3" t="s">
        <v>58</v>
      </c>
      <c r="L211" s="3" t="s">
        <v>86</v>
      </c>
      <c r="M211" s="3" t="s">
        <v>87</v>
      </c>
      <c r="N211" s="3">
        <v>4</v>
      </c>
      <c r="O211" s="5">
        <v>0</v>
      </c>
      <c r="P211" s="6">
        <v>621.07000000000005</v>
      </c>
      <c r="Q211" s="6">
        <v>129.44999999999999</v>
      </c>
    </row>
    <row r="212" spans="1:17" x14ac:dyDescent="0.3">
      <c r="A212" s="3">
        <v>211</v>
      </c>
      <c r="B212" s="3" t="s">
        <v>497</v>
      </c>
      <c r="C212" s="4">
        <v>44931</v>
      </c>
      <c r="D212" s="4">
        <v>44936</v>
      </c>
      <c r="E212" s="3" t="s">
        <v>37</v>
      </c>
      <c r="F212" s="3" t="s">
        <v>498</v>
      </c>
      <c r="G212" s="3" t="s">
        <v>30</v>
      </c>
      <c r="H212" s="3" t="s">
        <v>40</v>
      </c>
      <c r="I212" s="3" t="s">
        <v>114</v>
      </c>
      <c r="J212" s="3" t="s">
        <v>115</v>
      </c>
      <c r="K212" s="3" t="s">
        <v>25</v>
      </c>
      <c r="L212" s="3" t="s">
        <v>53</v>
      </c>
      <c r="M212" s="3" t="s">
        <v>171</v>
      </c>
      <c r="N212" s="3">
        <v>1</v>
      </c>
      <c r="O212" s="5">
        <v>0.2</v>
      </c>
      <c r="P212" s="6">
        <v>79.91</v>
      </c>
      <c r="Q212" s="6">
        <v>25.45</v>
      </c>
    </row>
    <row r="213" spans="1:17" x14ac:dyDescent="0.3">
      <c r="A213" s="3">
        <v>212</v>
      </c>
      <c r="B213" s="3" t="s">
        <v>499</v>
      </c>
      <c r="C213" s="4">
        <v>45429</v>
      </c>
      <c r="D213" s="4">
        <v>45431</v>
      </c>
      <c r="E213" s="3" t="s">
        <v>19</v>
      </c>
      <c r="F213" s="3" t="s">
        <v>441</v>
      </c>
      <c r="G213" s="3" t="s">
        <v>39</v>
      </c>
      <c r="H213" s="3" t="s">
        <v>40</v>
      </c>
      <c r="I213" s="3" t="s">
        <v>185</v>
      </c>
      <c r="J213" s="3" t="s">
        <v>186</v>
      </c>
      <c r="K213" s="3" t="s">
        <v>33</v>
      </c>
      <c r="L213" s="3" t="s">
        <v>49</v>
      </c>
      <c r="M213" s="3" t="s">
        <v>208</v>
      </c>
      <c r="N213" s="3">
        <v>1</v>
      </c>
      <c r="O213" s="5">
        <v>0</v>
      </c>
      <c r="P213" s="6">
        <v>380.35</v>
      </c>
      <c r="Q213" s="6">
        <v>-19.38</v>
      </c>
    </row>
    <row r="214" spans="1:17" x14ac:dyDescent="0.3">
      <c r="A214" s="3">
        <v>213</v>
      </c>
      <c r="B214" s="3" t="s">
        <v>500</v>
      </c>
      <c r="C214" s="4">
        <v>45274</v>
      </c>
      <c r="D214" s="4">
        <v>45281</v>
      </c>
      <c r="E214" s="3" t="s">
        <v>37</v>
      </c>
      <c r="F214" s="3" t="s">
        <v>501</v>
      </c>
      <c r="G214" s="3" t="s">
        <v>30</v>
      </c>
      <c r="H214" s="3" t="s">
        <v>46</v>
      </c>
      <c r="I214" s="3" t="s">
        <v>257</v>
      </c>
      <c r="J214" s="3" t="s">
        <v>258</v>
      </c>
      <c r="K214" s="3" t="s">
        <v>33</v>
      </c>
      <c r="L214" s="3" t="s">
        <v>95</v>
      </c>
      <c r="M214" s="3" t="s">
        <v>262</v>
      </c>
      <c r="N214" s="3">
        <v>6</v>
      </c>
      <c r="O214" s="5">
        <v>0.2</v>
      </c>
      <c r="P214" s="6">
        <v>3797.85</v>
      </c>
      <c r="Q214" s="6">
        <v>655.98</v>
      </c>
    </row>
    <row r="215" spans="1:17" x14ac:dyDescent="0.3">
      <c r="A215" s="3">
        <v>214</v>
      </c>
      <c r="B215" s="3" t="s">
        <v>502</v>
      </c>
      <c r="C215" s="4">
        <v>45526</v>
      </c>
      <c r="D215" s="4">
        <v>45529</v>
      </c>
      <c r="E215" s="3" t="s">
        <v>37</v>
      </c>
      <c r="F215" s="3" t="s">
        <v>292</v>
      </c>
      <c r="G215" s="3" t="s">
        <v>39</v>
      </c>
      <c r="H215" s="3" t="s">
        <v>46</v>
      </c>
      <c r="I215" s="3" t="s">
        <v>78</v>
      </c>
      <c r="J215" s="3" t="s">
        <v>79</v>
      </c>
      <c r="K215" s="3" t="s">
        <v>58</v>
      </c>
      <c r="L215" s="3" t="s">
        <v>217</v>
      </c>
      <c r="M215" s="3" t="s">
        <v>218</v>
      </c>
      <c r="N215" s="3">
        <v>3</v>
      </c>
      <c r="O215" s="5">
        <v>0.2</v>
      </c>
      <c r="P215" s="6">
        <v>1021.9</v>
      </c>
      <c r="Q215" s="6">
        <v>-118.6</v>
      </c>
    </row>
    <row r="216" spans="1:17" x14ac:dyDescent="0.3">
      <c r="A216" s="3">
        <v>215</v>
      </c>
      <c r="B216" s="3" t="s">
        <v>503</v>
      </c>
      <c r="C216" s="4">
        <v>44998</v>
      </c>
      <c r="D216" s="4">
        <v>45005</v>
      </c>
      <c r="E216" s="3" t="s">
        <v>62</v>
      </c>
      <c r="F216" s="3" t="s">
        <v>504</v>
      </c>
      <c r="G216" s="3" t="s">
        <v>39</v>
      </c>
      <c r="H216" s="3" t="s">
        <v>40</v>
      </c>
      <c r="I216" s="3" t="s">
        <v>114</v>
      </c>
      <c r="J216" s="3" t="s">
        <v>115</v>
      </c>
      <c r="K216" s="3" t="s">
        <v>25</v>
      </c>
      <c r="L216" s="3" t="s">
        <v>53</v>
      </c>
      <c r="M216" s="3" t="s">
        <v>171</v>
      </c>
      <c r="N216" s="3">
        <v>13</v>
      </c>
      <c r="O216" s="5">
        <v>0</v>
      </c>
      <c r="P216" s="6">
        <v>1506.59</v>
      </c>
      <c r="Q216" s="6">
        <v>-212.05</v>
      </c>
    </row>
    <row r="217" spans="1:17" x14ac:dyDescent="0.3">
      <c r="A217" s="3">
        <v>216</v>
      </c>
      <c r="B217" s="3" t="s">
        <v>505</v>
      </c>
      <c r="C217" s="4">
        <v>44907</v>
      </c>
      <c r="D217" s="4">
        <v>44910</v>
      </c>
      <c r="E217" s="3" t="s">
        <v>19</v>
      </c>
      <c r="F217" s="3" t="s">
        <v>190</v>
      </c>
      <c r="G217" s="3" t="s">
        <v>30</v>
      </c>
      <c r="H217" s="3" t="s">
        <v>90</v>
      </c>
      <c r="I217" s="3" t="s">
        <v>104</v>
      </c>
      <c r="J217" s="3" t="s">
        <v>105</v>
      </c>
      <c r="K217" s="3" t="s">
        <v>25</v>
      </c>
      <c r="L217" s="3" t="s">
        <v>116</v>
      </c>
      <c r="M217" s="3" t="s">
        <v>202</v>
      </c>
      <c r="N217" s="3">
        <v>3</v>
      </c>
      <c r="O217" s="5">
        <v>0</v>
      </c>
      <c r="P217" s="6">
        <v>231.21</v>
      </c>
      <c r="Q217" s="6">
        <v>56.18</v>
      </c>
    </row>
    <row r="218" spans="1:17" x14ac:dyDescent="0.3">
      <c r="A218" s="3">
        <v>217</v>
      </c>
      <c r="B218" s="3" t="s">
        <v>506</v>
      </c>
      <c r="C218" s="4">
        <v>44199</v>
      </c>
      <c r="D218" s="4">
        <v>44200</v>
      </c>
      <c r="E218" s="3" t="s">
        <v>56</v>
      </c>
      <c r="F218" s="3" t="s">
        <v>507</v>
      </c>
      <c r="G218" s="3" t="s">
        <v>30</v>
      </c>
      <c r="H218" s="3" t="s">
        <v>40</v>
      </c>
      <c r="I218" s="3" t="s">
        <v>158</v>
      </c>
      <c r="J218" s="3" t="s">
        <v>159</v>
      </c>
      <c r="K218" s="3" t="s">
        <v>25</v>
      </c>
      <c r="L218" s="3" t="s">
        <v>116</v>
      </c>
      <c r="M218" s="3" t="s">
        <v>117</v>
      </c>
      <c r="N218" s="3">
        <v>7</v>
      </c>
      <c r="O218" s="5">
        <v>0.3</v>
      </c>
      <c r="P218" s="6">
        <v>342.13</v>
      </c>
      <c r="Q218" s="6">
        <v>113.4</v>
      </c>
    </row>
    <row r="219" spans="1:17" x14ac:dyDescent="0.3">
      <c r="A219" s="3">
        <v>218</v>
      </c>
      <c r="B219" s="3" t="s">
        <v>508</v>
      </c>
      <c r="C219" s="4">
        <v>45121</v>
      </c>
      <c r="D219" s="4">
        <v>45122</v>
      </c>
      <c r="E219" s="3" t="s">
        <v>19</v>
      </c>
      <c r="F219" s="3" t="s">
        <v>198</v>
      </c>
      <c r="G219" s="3" t="s">
        <v>30</v>
      </c>
      <c r="H219" s="3" t="s">
        <v>22</v>
      </c>
      <c r="I219" s="3" t="s">
        <v>84</v>
      </c>
      <c r="J219" s="3" t="s">
        <v>85</v>
      </c>
      <c r="K219" s="3" t="s">
        <v>58</v>
      </c>
      <c r="L219" s="3" t="s">
        <v>86</v>
      </c>
      <c r="M219" s="3" t="s">
        <v>87</v>
      </c>
      <c r="N219" s="3">
        <v>13</v>
      </c>
      <c r="O219" s="5">
        <v>0.15</v>
      </c>
      <c r="P219" s="6">
        <v>5307.52</v>
      </c>
      <c r="Q219" s="6">
        <v>-1262.94</v>
      </c>
    </row>
    <row r="220" spans="1:17" x14ac:dyDescent="0.3">
      <c r="A220" s="3">
        <v>219</v>
      </c>
      <c r="B220" s="3" t="s">
        <v>509</v>
      </c>
      <c r="C220" s="4">
        <v>44889</v>
      </c>
      <c r="D220" s="4">
        <v>44894</v>
      </c>
      <c r="E220" s="3" t="s">
        <v>62</v>
      </c>
      <c r="F220" s="3" t="s">
        <v>510</v>
      </c>
      <c r="G220" s="3" t="s">
        <v>21</v>
      </c>
      <c r="H220" s="3" t="s">
        <v>90</v>
      </c>
      <c r="I220" s="3" t="s">
        <v>104</v>
      </c>
      <c r="J220" s="3" t="s">
        <v>105</v>
      </c>
      <c r="K220" s="3" t="s">
        <v>25</v>
      </c>
      <c r="L220" s="3" t="s">
        <v>80</v>
      </c>
      <c r="M220" s="3" t="s">
        <v>81</v>
      </c>
      <c r="N220" s="3">
        <v>10</v>
      </c>
      <c r="O220" s="5">
        <v>0</v>
      </c>
      <c r="P220" s="6">
        <v>1074.01</v>
      </c>
      <c r="Q220" s="6">
        <v>9.44</v>
      </c>
    </row>
    <row r="221" spans="1:17" x14ac:dyDescent="0.3">
      <c r="A221" s="3">
        <v>220</v>
      </c>
      <c r="B221" s="3" t="s">
        <v>511</v>
      </c>
      <c r="C221" s="4">
        <v>45624</v>
      </c>
      <c r="D221" s="4">
        <v>45629</v>
      </c>
      <c r="E221" s="3" t="s">
        <v>56</v>
      </c>
      <c r="F221" s="3" t="s">
        <v>294</v>
      </c>
      <c r="G221" s="3" t="s">
        <v>21</v>
      </c>
      <c r="H221" s="3" t="s">
        <v>22</v>
      </c>
      <c r="I221" s="3" t="s">
        <v>72</v>
      </c>
      <c r="J221" s="3" t="s">
        <v>73</v>
      </c>
      <c r="K221" s="3" t="s">
        <v>33</v>
      </c>
      <c r="L221" s="3" t="s">
        <v>95</v>
      </c>
      <c r="M221" s="3" t="s">
        <v>120</v>
      </c>
      <c r="N221" s="3">
        <v>12</v>
      </c>
      <c r="O221" s="5">
        <v>0.15</v>
      </c>
      <c r="P221" s="6">
        <v>7446.27</v>
      </c>
      <c r="Q221" s="6">
        <v>1089.83</v>
      </c>
    </row>
    <row r="222" spans="1:17" x14ac:dyDescent="0.3">
      <c r="A222" s="3">
        <v>221</v>
      </c>
      <c r="B222" s="3" t="s">
        <v>512</v>
      </c>
      <c r="C222" s="4">
        <v>44376</v>
      </c>
      <c r="D222" s="4">
        <v>44379</v>
      </c>
      <c r="E222" s="3" t="s">
        <v>37</v>
      </c>
      <c r="F222" s="3" t="s">
        <v>513</v>
      </c>
      <c r="G222" s="3" t="s">
        <v>39</v>
      </c>
      <c r="H222" s="3" t="s">
        <v>90</v>
      </c>
      <c r="I222" s="3" t="s">
        <v>104</v>
      </c>
      <c r="J222" s="3" t="s">
        <v>105</v>
      </c>
      <c r="K222" s="3" t="s">
        <v>33</v>
      </c>
      <c r="L222" s="3" t="s">
        <v>49</v>
      </c>
      <c r="M222" s="3" t="s">
        <v>478</v>
      </c>
      <c r="N222" s="3">
        <v>14</v>
      </c>
      <c r="O222" s="5">
        <v>0.4</v>
      </c>
      <c r="P222" s="6">
        <v>5813.36</v>
      </c>
      <c r="Q222" s="6">
        <v>-756.87</v>
      </c>
    </row>
    <row r="223" spans="1:17" x14ac:dyDescent="0.3">
      <c r="A223" s="3">
        <v>222</v>
      </c>
      <c r="B223" s="3" t="s">
        <v>514</v>
      </c>
      <c r="C223" s="4">
        <v>45161</v>
      </c>
      <c r="D223" s="4">
        <v>45165</v>
      </c>
      <c r="E223" s="3" t="s">
        <v>62</v>
      </c>
      <c r="F223" s="3" t="s">
        <v>515</v>
      </c>
      <c r="G223" s="3" t="s">
        <v>30</v>
      </c>
      <c r="H223" s="3" t="s">
        <v>22</v>
      </c>
      <c r="I223" s="3" t="s">
        <v>84</v>
      </c>
      <c r="J223" s="3" t="s">
        <v>85</v>
      </c>
      <c r="K223" s="3" t="s">
        <v>58</v>
      </c>
      <c r="L223" s="3" t="s">
        <v>199</v>
      </c>
      <c r="M223" s="3" t="s">
        <v>200</v>
      </c>
      <c r="N223" s="3">
        <v>11</v>
      </c>
      <c r="O223" s="5">
        <v>0.3</v>
      </c>
      <c r="P223" s="6">
        <v>1547.07</v>
      </c>
      <c r="Q223" s="6">
        <v>-215.15</v>
      </c>
    </row>
    <row r="224" spans="1:17" x14ac:dyDescent="0.3">
      <c r="A224" s="3">
        <v>223</v>
      </c>
      <c r="B224" s="3" t="s">
        <v>516</v>
      </c>
      <c r="C224" s="4">
        <v>45352</v>
      </c>
      <c r="D224" s="4">
        <v>45353</v>
      </c>
      <c r="E224" s="3" t="s">
        <v>19</v>
      </c>
      <c r="F224" s="3" t="s">
        <v>130</v>
      </c>
      <c r="G224" s="3" t="s">
        <v>39</v>
      </c>
      <c r="H224" s="3" t="s">
        <v>46</v>
      </c>
      <c r="I224" s="3" t="s">
        <v>146</v>
      </c>
      <c r="J224" s="3" t="s">
        <v>147</v>
      </c>
      <c r="K224" s="3" t="s">
        <v>25</v>
      </c>
      <c r="L224" s="3" t="s">
        <v>26</v>
      </c>
      <c r="M224" s="3" t="s">
        <v>259</v>
      </c>
      <c r="N224" s="3">
        <v>3</v>
      </c>
      <c r="O224" s="5">
        <v>0</v>
      </c>
      <c r="P224" s="6">
        <v>272.29000000000002</v>
      </c>
      <c r="Q224" s="6">
        <v>-54.07</v>
      </c>
    </row>
    <row r="225" spans="1:17" x14ac:dyDescent="0.3">
      <c r="A225" s="3">
        <v>224</v>
      </c>
      <c r="B225" s="3" t="s">
        <v>517</v>
      </c>
      <c r="C225" s="4">
        <v>45369</v>
      </c>
      <c r="D225" s="4">
        <v>45371</v>
      </c>
      <c r="E225" s="3" t="s">
        <v>19</v>
      </c>
      <c r="F225" s="3" t="s">
        <v>266</v>
      </c>
      <c r="G225" s="3" t="s">
        <v>39</v>
      </c>
      <c r="H225" s="3" t="s">
        <v>22</v>
      </c>
      <c r="I225" s="3" t="s">
        <v>84</v>
      </c>
      <c r="J225" s="3" t="s">
        <v>85</v>
      </c>
      <c r="K225" s="3" t="s">
        <v>58</v>
      </c>
      <c r="L225" s="3" t="s">
        <v>217</v>
      </c>
      <c r="M225" s="3" t="s">
        <v>218</v>
      </c>
      <c r="N225" s="3">
        <v>8</v>
      </c>
      <c r="O225" s="5">
        <v>0.3</v>
      </c>
      <c r="P225" s="6">
        <v>1240.95</v>
      </c>
      <c r="Q225" s="6">
        <v>361.94</v>
      </c>
    </row>
    <row r="226" spans="1:17" x14ac:dyDescent="0.3">
      <c r="A226" s="3">
        <v>225</v>
      </c>
      <c r="B226" s="3" t="s">
        <v>518</v>
      </c>
      <c r="C226" s="4">
        <v>44591</v>
      </c>
      <c r="D226" s="4">
        <v>44593</v>
      </c>
      <c r="E226" s="3" t="s">
        <v>62</v>
      </c>
      <c r="F226" s="3" t="s">
        <v>519</v>
      </c>
      <c r="G226" s="3" t="s">
        <v>30</v>
      </c>
      <c r="H226" s="3" t="s">
        <v>22</v>
      </c>
      <c r="I226" s="3" t="s">
        <v>84</v>
      </c>
      <c r="J226" s="3" t="s">
        <v>85</v>
      </c>
      <c r="K226" s="3" t="s">
        <v>33</v>
      </c>
      <c r="L226" s="3" t="s">
        <v>95</v>
      </c>
      <c r="M226" s="3" t="s">
        <v>370</v>
      </c>
      <c r="N226" s="3">
        <v>1</v>
      </c>
      <c r="O226" s="5">
        <v>0.3</v>
      </c>
      <c r="P226" s="6">
        <v>282.81</v>
      </c>
      <c r="Q226" s="6">
        <v>-36.44</v>
      </c>
    </row>
    <row r="227" spans="1:17" x14ac:dyDescent="0.3">
      <c r="A227" s="3">
        <v>226</v>
      </c>
      <c r="B227" s="3" t="s">
        <v>520</v>
      </c>
      <c r="C227" s="4">
        <v>44762</v>
      </c>
      <c r="D227" s="4">
        <v>44767</v>
      </c>
      <c r="E227" s="3" t="s">
        <v>19</v>
      </c>
      <c r="F227" s="3" t="s">
        <v>462</v>
      </c>
      <c r="G227" s="3" t="s">
        <v>21</v>
      </c>
      <c r="H227" s="3" t="s">
        <v>22</v>
      </c>
      <c r="I227" s="3" t="s">
        <v>84</v>
      </c>
      <c r="J227" s="3" t="s">
        <v>85</v>
      </c>
      <c r="K227" s="3" t="s">
        <v>25</v>
      </c>
      <c r="L227" s="3" t="s">
        <v>80</v>
      </c>
      <c r="M227" s="3" t="s">
        <v>150</v>
      </c>
      <c r="N227" s="3">
        <v>8</v>
      </c>
      <c r="O227" s="5">
        <v>0</v>
      </c>
      <c r="P227" s="6">
        <v>881.8</v>
      </c>
      <c r="Q227" s="6">
        <v>195.7</v>
      </c>
    </row>
    <row r="228" spans="1:17" x14ac:dyDescent="0.3">
      <c r="A228" s="3">
        <v>227</v>
      </c>
      <c r="B228" s="3" t="s">
        <v>521</v>
      </c>
      <c r="C228" s="4">
        <v>45293</v>
      </c>
      <c r="D228" s="4">
        <v>45296</v>
      </c>
      <c r="E228" s="3" t="s">
        <v>56</v>
      </c>
      <c r="F228" s="3" t="s">
        <v>210</v>
      </c>
      <c r="G228" s="3" t="s">
        <v>30</v>
      </c>
      <c r="H228" s="3" t="s">
        <v>22</v>
      </c>
      <c r="I228" s="3" t="s">
        <v>23</v>
      </c>
      <c r="J228" s="3" t="s">
        <v>24</v>
      </c>
      <c r="K228" s="3" t="s">
        <v>25</v>
      </c>
      <c r="L228" s="3" t="s">
        <v>116</v>
      </c>
      <c r="M228" s="3" t="s">
        <v>166</v>
      </c>
      <c r="N228" s="3">
        <v>7</v>
      </c>
      <c r="O228" s="5">
        <v>0.4</v>
      </c>
      <c r="P228" s="6">
        <v>204.32</v>
      </c>
      <c r="Q228" s="6">
        <v>19.05</v>
      </c>
    </row>
    <row r="229" spans="1:17" x14ac:dyDescent="0.3">
      <c r="A229" s="3">
        <v>228</v>
      </c>
      <c r="B229" s="3" t="s">
        <v>522</v>
      </c>
      <c r="C229" s="4">
        <v>44276</v>
      </c>
      <c r="D229" s="4">
        <v>44280</v>
      </c>
      <c r="E229" s="3" t="s">
        <v>37</v>
      </c>
      <c r="F229" s="3" t="s">
        <v>523</v>
      </c>
      <c r="G229" s="3" t="s">
        <v>30</v>
      </c>
      <c r="H229" s="3" t="s">
        <v>40</v>
      </c>
      <c r="I229" s="3" t="s">
        <v>223</v>
      </c>
      <c r="J229" s="3" t="s">
        <v>224</v>
      </c>
      <c r="K229" s="3" t="s">
        <v>25</v>
      </c>
      <c r="L229" s="3" t="s">
        <v>53</v>
      </c>
      <c r="M229" s="3" t="s">
        <v>54</v>
      </c>
      <c r="N229" s="3">
        <v>6</v>
      </c>
      <c r="O229" s="5">
        <v>0</v>
      </c>
      <c r="P229" s="6">
        <v>500.88</v>
      </c>
      <c r="Q229" s="6">
        <v>98.9</v>
      </c>
    </row>
    <row r="230" spans="1:17" x14ac:dyDescent="0.3">
      <c r="A230" s="3">
        <v>229</v>
      </c>
      <c r="B230" s="3" t="s">
        <v>524</v>
      </c>
      <c r="C230" s="4">
        <v>44472</v>
      </c>
      <c r="D230" s="4">
        <v>44475</v>
      </c>
      <c r="E230" s="3" t="s">
        <v>56</v>
      </c>
      <c r="F230" s="3" t="s">
        <v>525</v>
      </c>
      <c r="G230" s="3" t="s">
        <v>21</v>
      </c>
      <c r="H230" s="3" t="s">
        <v>46</v>
      </c>
      <c r="I230" s="3" t="s">
        <v>281</v>
      </c>
      <c r="J230" s="3" t="s">
        <v>282</v>
      </c>
      <c r="K230" s="3" t="s">
        <v>58</v>
      </c>
      <c r="L230" s="3" t="s">
        <v>59</v>
      </c>
      <c r="M230" s="3" t="s">
        <v>60</v>
      </c>
      <c r="N230" s="3">
        <v>12</v>
      </c>
      <c r="O230" s="5">
        <v>0.2</v>
      </c>
      <c r="P230" s="6">
        <v>2687.6</v>
      </c>
      <c r="Q230" s="6">
        <v>-237.44</v>
      </c>
    </row>
    <row r="231" spans="1:17" x14ac:dyDescent="0.3">
      <c r="A231" s="3">
        <v>230</v>
      </c>
      <c r="B231" s="3" t="s">
        <v>526</v>
      </c>
      <c r="C231" s="4">
        <v>44312</v>
      </c>
      <c r="D231" s="4">
        <v>44317</v>
      </c>
      <c r="E231" s="3" t="s">
        <v>62</v>
      </c>
      <c r="F231" s="3" t="s">
        <v>527</v>
      </c>
      <c r="G231" s="3" t="s">
        <v>39</v>
      </c>
      <c r="H231" s="3" t="s">
        <v>40</v>
      </c>
      <c r="I231" s="3" t="s">
        <v>185</v>
      </c>
      <c r="J231" s="3" t="s">
        <v>186</v>
      </c>
      <c r="K231" s="3" t="s">
        <v>25</v>
      </c>
      <c r="L231" s="3" t="s">
        <v>80</v>
      </c>
      <c r="M231" s="3" t="s">
        <v>150</v>
      </c>
      <c r="N231" s="3">
        <v>13</v>
      </c>
      <c r="O231" s="5">
        <v>0.15</v>
      </c>
      <c r="P231" s="6">
        <v>257.72000000000003</v>
      </c>
      <c r="Q231" s="6">
        <v>45.29</v>
      </c>
    </row>
    <row r="232" spans="1:17" x14ac:dyDescent="0.3">
      <c r="A232" s="3">
        <v>231</v>
      </c>
      <c r="B232" s="3" t="s">
        <v>528</v>
      </c>
      <c r="C232" s="4">
        <v>44707</v>
      </c>
      <c r="D232" s="4">
        <v>44708</v>
      </c>
      <c r="E232" s="3" t="s">
        <v>56</v>
      </c>
      <c r="F232" s="3" t="s">
        <v>192</v>
      </c>
      <c r="G232" s="3" t="s">
        <v>39</v>
      </c>
      <c r="H232" s="3" t="s">
        <v>40</v>
      </c>
      <c r="I232" s="3" t="s">
        <v>114</v>
      </c>
      <c r="J232" s="3" t="s">
        <v>115</v>
      </c>
      <c r="K232" s="3" t="s">
        <v>58</v>
      </c>
      <c r="L232" s="3" t="s">
        <v>86</v>
      </c>
      <c r="M232" s="3" t="s">
        <v>87</v>
      </c>
      <c r="N232" s="3">
        <v>8</v>
      </c>
      <c r="O232" s="5">
        <v>0.2</v>
      </c>
      <c r="P232" s="6">
        <v>404.3</v>
      </c>
      <c r="Q232" s="6">
        <v>69.86</v>
      </c>
    </row>
    <row r="233" spans="1:17" x14ac:dyDescent="0.3">
      <c r="A233" s="3">
        <v>232</v>
      </c>
      <c r="B233" s="3" t="s">
        <v>529</v>
      </c>
      <c r="C233" s="4">
        <v>45110</v>
      </c>
      <c r="D233" s="4">
        <v>45112</v>
      </c>
      <c r="E233" s="3" t="s">
        <v>56</v>
      </c>
      <c r="F233" s="3" t="s">
        <v>149</v>
      </c>
      <c r="G233" s="3" t="s">
        <v>21</v>
      </c>
      <c r="H233" s="3" t="s">
        <v>22</v>
      </c>
      <c r="I233" s="3" t="s">
        <v>23</v>
      </c>
      <c r="J233" s="3" t="s">
        <v>24</v>
      </c>
      <c r="K233" s="3" t="s">
        <v>25</v>
      </c>
      <c r="L233" s="3" t="s">
        <v>74</v>
      </c>
      <c r="M233" s="3" t="s">
        <v>101</v>
      </c>
      <c r="N233" s="3">
        <v>14</v>
      </c>
      <c r="O233" s="5">
        <v>0.2</v>
      </c>
      <c r="P233" s="6">
        <v>763.29</v>
      </c>
      <c r="Q233" s="6">
        <v>-33.17</v>
      </c>
    </row>
    <row r="234" spans="1:17" x14ac:dyDescent="0.3">
      <c r="A234" s="3">
        <v>233</v>
      </c>
      <c r="B234" s="3" t="s">
        <v>530</v>
      </c>
      <c r="C234" s="4">
        <v>45522</v>
      </c>
      <c r="D234" s="4">
        <v>45524</v>
      </c>
      <c r="E234" s="3" t="s">
        <v>19</v>
      </c>
      <c r="F234" s="3" t="s">
        <v>429</v>
      </c>
      <c r="G234" s="3" t="s">
        <v>39</v>
      </c>
      <c r="H234" s="3" t="s">
        <v>22</v>
      </c>
      <c r="I234" s="3" t="s">
        <v>68</v>
      </c>
      <c r="J234" s="3" t="s">
        <v>69</v>
      </c>
      <c r="K234" s="3" t="s">
        <v>58</v>
      </c>
      <c r="L234" s="3" t="s">
        <v>86</v>
      </c>
      <c r="M234" s="3" t="s">
        <v>87</v>
      </c>
      <c r="N234" s="3">
        <v>11</v>
      </c>
      <c r="O234" s="5">
        <v>0.3</v>
      </c>
      <c r="P234" s="6">
        <v>1272.9100000000001</v>
      </c>
      <c r="Q234" s="6">
        <v>73.790000000000006</v>
      </c>
    </row>
    <row r="235" spans="1:17" x14ac:dyDescent="0.3">
      <c r="A235" s="3">
        <v>234</v>
      </c>
      <c r="B235" s="3" t="s">
        <v>531</v>
      </c>
      <c r="C235" s="4">
        <v>45649</v>
      </c>
      <c r="D235" s="4">
        <v>45655</v>
      </c>
      <c r="E235" s="3" t="s">
        <v>37</v>
      </c>
      <c r="F235" s="3" t="s">
        <v>532</v>
      </c>
      <c r="G235" s="3" t="s">
        <v>30</v>
      </c>
      <c r="H235" s="3" t="s">
        <v>22</v>
      </c>
      <c r="I235" s="3" t="s">
        <v>68</v>
      </c>
      <c r="J235" s="3" t="s">
        <v>69</v>
      </c>
      <c r="K235" s="3" t="s">
        <v>25</v>
      </c>
      <c r="L235" s="3" t="s">
        <v>106</v>
      </c>
      <c r="M235" s="3" t="s">
        <v>136</v>
      </c>
      <c r="N235" s="3">
        <v>5</v>
      </c>
      <c r="O235" s="5">
        <v>0.3</v>
      </c>
      <c r="P235" s="6">
        <v>236.64</v>
      </c>
      <c r="Q235" s="6">
        <v>61.75</v>
      </c>
    </row>
    <row r="236" spans="1:17" x14ac:dyDescent="0.3">
      <c r="A236" s="3">
        <v>235</v>
      </c>
      <c r="B236" s="3" t="s">
        <v>533</v>
      </c>
      <c r="C236" s="4">
        <v>45522</v>
      </c>
      <c r="D236" s="4">
        <v>45527</v>
      </c>
      <c r="E236" s="3" t="s">
        <v>37</v>
      </c>
      <c r="F236" s="3" t="s">
        <v>534</v>
      </c>
      <c r="G236" s="3" t="s">
        <v>30</v>
      </c>
      <c r="H236" s="3" t="s">
        <v>90</v>
      </c>
      <c r="I236" s="3" t="s">
        <v>91</v>
      </c>
      <c r="J236" s="3" t="s">
        <v>92</v>
      </c>
      <c r="K236" s="3" t="s">
        <v>33</v>
      </c>
      <c r="L236" s="3" t="s">
        <v>64</v>
      </c>
      <c r="M236" s="3" t="s">
        <v>65</v>
      </c>
      <c r="N236" s="3">
        <v>10</v>
      </c>
      <c r="O236" s="5">
        <v>0</v>
      </c>
      <c r="P236" s="6">
        <v>2158.0700000000002</v>
      </c>
      <c r="Q236" s="6">
        <v>84.26</v>
      </c>
    </row>
    <row r="237" spans="1:17" x14ac:dyDescent="0.3">
      <c r="A237" s="3">
        <v>236</v>
      </c>
      <c r="B237" s="3" t="s">
        <v>535</v>
      </c>
      <c r="C237" s="4">
        <v>45425</v>
      </c>
      <c r="D237" s="4">
        <v>45429</v>
      </c>
      <c r="E237" s="3" t="s">
        <v>56</v>
      </c>
      <c r="F237" s="3" t="s">
        <v>401</v>
      </c>
      <c r="G237" s="3" t="s">
        <v>30</v>
      </c>
      <c r="H237" s="3" t="s">
        <v>46</v>
      </c>
      <c r="I237" s="3" t="s">
        <v>78</v>
      </c>
      <c r="J237" s="3" t="s">
        <v>79</v>
      </c>
      <c r="K237" s="3" t="s">
        <v>33</v>
      </c>
      <c r="L237" s="3" t="s">
        <v>95</v>
      </c>
      <c r="M237" s="3" t="s">
        <v>262</v>
      </c>
      <c r="N237" s="3">
        <v>11</v>
      </c>
      <c r="O237" s="5">
        <v>0</v>
      </c>
      <c r="P237" s="6">
        <v>2647.92</v>
      </c>
      <c r="Q237" s="6">
        <v>483.96</v>
      </c>
    </row>
    <row r="238" spans="1:17" x14ac:dyDescent="0.3">
      <c r="A238" s="3">
        <v>237</v>
      </c>
      <c r="B238" s="3" t="s">
        <v>536</v>
      </c>
      <c r="C238" s="4">
        <v>44899</v>
      </c>
      <c r="D238" s="4">
        <v>44905</v>
      </c>
      <c r="E238" s="3" t="s">
        <v>19</v>
      </c>
      <c r="F238" s="3" t="s">
        <v>537</v>
      </c>
      <c r="G238" s="3" t="s">
        <v>21</v>
      </c>
      <c r="H238" s="3" t="s">
        <v>90</v>
      </c>
      <c r="I238" s="3" t="s">
        <v>169</v>
      </c>
      <c r="J238" s="3" t="s">
        <v>170</v>
      </c>
      <c r="K238" s="3" t="s">
        <v>25</v>
      </c>
      <c r="L238" s="3" t="s">
        <v>80</v>
      </c>
      <c r="M238" s="3" t="s">
        <v>81</v>
      </c>
      <c r="N238" s="3">
        <v>12</v>
      </c>
      <c r="O238" s="5">
        <v>0.4</v>
      </c>
      <c r="P238" s="6">
        <v>298.2</v>
      </c>
      <c r="Q238" s="6">
        <v>87.65</v>
      </c>
    </row>
    <row r="239" spans="1:17" x14ac:dyDescent="0.3">
      <c r="A239" s="3">
        <v>238</v>
      </c>
      <c r="B239" s="3" t="s">
        <v>538</v>
      </c>
      <c r="C239" s="4">
        <v>45341</v>
      </c>
      <c r="D239" s="4">
        <v>45348</v>
      </c>
      <c r="E239" s="3" t="s">
        <v>37</v>
      </c>
      <c r="F239" s="3" t="s">
        <v>539</v>
      </c>
      <c r="G239" s="3" t="s">
        <v>39</v>
      </c>
      <c r="H239" s="3" t="s">
        <v>46</v>
      </c>
      <c r="I239" s="3" t="s">
        <v>257</v>
      </c>
      <c r="J239" s="3" t="s">
        <v>258</v>
      </c>
      <c r="K239" s="3" t="s">
        <v>25</v>
      </c>
      <c r="L239" s="3" t="s">
        <v>53</v>
      </c>
      <c r="M239" s="3" t="s">
        <v>54</v>
      </c>
      <c r="N239" s="3">
        <v>3</v>
      </c>
      <c r="O239" s="5">
        <v>0.2</v>
      </c>
      <c r="P239" s="6">
        <v>320.74</v>
      </c>
      <c r="Q239" s="6">
        <v>45.76</v>
      </c>
    </row>
    <row r="240" spans="1:17" x14ac:dyDescent="0.3">
      <c r="A240" s="3">
        <v>239</v>
      </c>
      <c r="B240" s="3" t="s">
        <v>540</v>
      </c>
      <c r="C240" s="4">
        <v>45146</v>
      </c>
      <c r="D240" s="4">
        <v>45153</v>
      </c>
      <c r="E240" s="3" t="s">
        <v>56</v>
      </c>
      <c r="F240" s="3" t="s">
        <v>541</v>
      </c>
      <c r="G240" s="3" t="s">
        <v>39</v>
      </c>
      <c r="H240" s="3" t="s">
        <v>90</v>
      </c>
      <c r="I240" s="3" t="s">
        <v>99</v>
      </c>
      <c r="J240" s="3" t="s">
        <v>100</v>
      </c>
      <c r="K240" s="3" t="s">
        <v>25</v>
      </c>
      <c r="L240" s="3" t="s">
        <v>80</v>
      </c>
      <c r="M240" s="3" t="s">
        <v>150</v>
      </c>
      <c r="N240" s="3">
        <v>2</v>
      </c>
      <c r="O240" s="5">
        <v>0</v>
      </c>
      <c r="P240" s="6">
        <v>115.05</v>
      </c>
      <c r="Q240" s="6">
        <v>3.83</v>
      </c>
    </row>
    <row r="241" spans="1:17" x14ac:dyDescent="0.3">
      <c r="A241" s="3">
        <v>240</v>
      </c>
      <c r="B241" s="3" t="s">
        <v>542</v>
      </c>
      <c r="C241" s="4">
        <v>44607</v>
      </c>
      <c r="D241" s="4">
        <v>44610</v>
      </c>
      <c r="E241" s="3" t="s">
        <v>19</v>
      </c>
      <c r="F241" s="3" t="s">
        <v>543</v>
      </c>
      <c r="G241" s="3" t="s">
        <v>30</v>
      </c>
      <c r="H241" s="3" t="s">
        <v>46</v>
      </c>
      <c r="I241" s="3" t="s">
        <v>146</v>
      </c>
      <c r="J241" s="3" t="s">
        <v>147</v>
      </c>
      <c r="K241" s="3" t="s">
        <v>33</v>
      </c>
      <c r="L241" s="3" t="s">
        <v>95</v>
      </c>
      <c r="M241" s="3" t="s">
        <v>370</v>
      </c>
      <c r="N241" s="3">
        <v>7</v>
      </c>
      <c r="O241" s="5">
        <v>0.4</v>
      </c>
      <c r="P241" s="6">
        <v>4258.74</v>
      </c>
      <c r="Q241" s="6">
        <v>-698.71</v>
      </c>
    </row>
    <row r="242" spans="1:17" x14ac:dyDescent="0.3">
      <c r="A242" s="3">
        <v>241</v>
      </c>
      <c r="B242" s="3" t="s">
        <v>544</v>
      </c>
      <c r="C242" s="4">
        <v>44542</v>
      </c>
      <c r="D242" s="4">
        <v>44547</v>
      </c>
      <c r="E242" s="3" t="s">
        <v>56</v>
      </c>
      <c r="F242" s="3" t="s">
        <v>545</v>
      </c>
      <c r="G242" s="3" t="s">
        <v>30</v>
      </c>
      <c r="H242" s="3" t="s">
        <v>46</v>
      </c>
      <c r="I242" s="3" t="s">
        <v>257</v>
      </c>
      <c r="J242" s="3" t="s">
        <v>258</v>
      </c>
      <c r="K242" s="3" t="s">
        <v>33</v>
      </c>
      <c r="L242" s="3" t="s">
        <v>64</v>
      </c>
      <c r="M242" s="3" t="s">
        <v>126</v>
      </c>
      <c r="N242" s="3">
        <v>13</v>
      </c>
      <c r="O242" s="5">
        <v>0</v>
      </c>
      <c r="P242" s="6">
        <v>1715.27</v>
      </c>
      <c r="Q242" s="6">
        <v>-295.64</v>
      </c>
    </row>
    <row r="243" spans="1:17" x14ac:dyDescent="0.3">
      <c r="A243" s="3">
        <v>242</v>
      </c>
      <c r="B243" s="3" t="s">
        <v>546</v>
      </c>
      <c r="C243" s="4">
        <v>44225</v>
      </c>
      <c r="D243" s="4">
        <v>44228</v>
      </c>
      <c r="E243" s="3" t="s">
        <v>37</v>
      </c>
      <c r="F243" s="3" t="s">
        <v>547</v>
      </c>
      <c r="G243" s="3" t="s">
        <v>39</v>
      </c>
      <c r="H243" s="3" t="s">
        <v>90</v>
      </c>
      <c r="I243" s="3" t="s">
        <v>169</v>
      </c>
      <c r="J243" s="3" t="s">
        <v>170</v>
      </c>
      <c r="K243" s="3" t="s">
        <v>33</v>
      </c>
      <c r="L243" s="3" t="s">
        <v>95</v>
      </c>
      <c r="M243" s="3" t="s">
        <v>96</v>
      </c>
      <c r="N243" s="3">
        <v>13</v>
      </c>
      <c r="O243" s="5">
        <v>0.1</v>
      </c>
      <c r="P243" s="6">
        <v>7407.48</v>
      </c>
      <c r="Q243" s="6">
        <v>-1772.24</v>
      </c>
    </row>
    <row r="244" spans="1:17" x14ac:dyDescent="0.3">
      <c r="A244" s="3">
        <v>243</v>
      </c>
      <c r="B244" s="3" t="s">
        <v>548</v>
      </c>
      <c r="C244" s="4">
        <v>44330</v>
      </c>
      <c r="D244" s="4">
        <v>44337</v>
      </c>
      <c r="E244" s="3" t="s">
        <v>56</v>
      </c>
      <c r="F244" s="3" t="s">
        <v>549</v>
      </c>
      <c r="G244" s="3" t="s">
        <v>30</v>
      </c>
      <c r="H244" s="3" t="s">
        <v>46</v>
      </c>
      <c r="I244" s="3" t="s">
        <v>78</v>
      </c>
      <c r="J244" s="3" t="s">
        <v>79</v>
      </c>
      <c r="K244" s="3" t="s">
        <v>33</v>
      </c>
      <c r="L244" s="3" t="s">
        <v>64</v>
      </c>
      <c r="M244" s="3" t="s">
        <v>126</v>
      </c>
      <c r="N244" s="3">
        <v>1</v>
      </c>
      <c r="O244" s="5">
        <v>0.15</v>
      </c>
      <c r="P244" s="6">
        <v>216.1</v>
      </c>
      <c r="Q244" s="6">
        <v>5.09</v>
      </c>
    </row>
    <row r="245" spans="1:17" x14ac:dyDescent="0.3">
      <c r="A245" s="3">
        <v>244</v>
      </c>
      <c r="B245" s="3" t="s">
        <v>550</v>
      </c>
      <c r="C245" s="4">
        <v>44664</v>
      </c>
      <c r="D245" s="4">
        <v>44666</v>
      </c>
      <c r="E245" s="3" t="s">
        <v>62</v>
      </c>
      <c r="F245" s="3" t="s">
        <v>551</v>
      </c>
      <c r="G245" s="3" t="s">
        <v>39</v>
      </c>
      <c r="H245" s="3" t="s">
        <v>46</v>
      </c>
      <c r="I245" s="3" t="s">
        <v>78</v>
      </c>
      <c r="J245" s="3" t="s">
        <v>79</v>
      </c>
      <c r="K245" s="3" t="s">
        <v>33</v>
      </c>
      <c r="L245" s="3" t="s">
        <v>34</v>
      </c>
      <c r="M245" s="3" t="s">
        <v>43</v>
      </c>
      <c r="N245" s="3">
        <v>12</v>
      </c>
      <c r="O245" s="5">
        <v>0.1</v>
      </c>
      <c r="P245" s="6">
        <v>8029.2</v>
      </c>
      <c r="Q245" s="6">
        <v>1529.13</v>
      </c>
    </row>
    <row r="246" spans="1:17" x14ac:dyDescent="0.3">
      <c r="A246" s="3">
        <v>245</v>
      </c>
      <c r="B246" s="3" t="s">
        <v>552</v>
      </c>
      <c r="C246" s="4">
        <v>44295</v>
      </c>
      <c r="D246" s="4">
        <v>44301</v>
      </c>
      <c r="E246" s="3" t="s">
        <v>62</v>
      </c>
      <c r="F246" s="3" t="s">
        <v>553</v>
      </c>
      <c r="G246" s="3" t="s">
        <v>30</v>
      </c>
      <c r="H246" s="3" t="s">
        <v>90</v>
      </c>
      <c r="I246" s="3" t="s">
        <v>99</v>
      </c>
      <c r="J246" s="3" t="s">
        <v>100</v>
      </c>
      <c r="K246" s="3" t="s">
        <v>58</v>
      </c>
      <c r="L246" s="3" t="s">
        <v>59</v>
      </c>
      <c r="M246" s="3" t="s">
        <v>295</v>
      </c>
      <c r="N246" s="3">
        <v>2</v>
      </c>
      <c r="O246" s="5">
        <v>0</v>
      </c>
      <c r="P246" s="6">
        <v>674.35</v>
      </c>
      <c r="Q246" s="6">
        <v>-149.07</v>
      </c>
    </row>
    <row r="247" spans="1:17" x14ac:dyDescent="0.3">
      <c r="A247" s="3">
        <v>246</v>
      </c>
      <c r="B247" s="3" t="s">
        <v>554</v>
      </c>
      <c r="C247" s="4">
        <v>45601</v>
      </c>
      <c r="D247" s="4">
        <v>45607</v>
      </c>
      <c r="E247" s="3" t="s">
        <v>19</v>
      </c>
      <c r="F247" s="3" t="s">
        <v>355</v>
      </c>
      <c r="G247" s="3" t="s">
        <v>39</v>
      </c>
      <c r="H247" s="3" t="s">
        <v>46</v>
      </c>
      <c r="I247" s="3" t="s">
        <v>146</v>
      </c>
      <c r="J247" s="3" t="s">
        <v>147</v>
      </c>
      <c r="K247" s="3" t="s">
        <v>25</v>
      </c>
      <c r="L247" s="3" t="s">
        <v>26</v>
      </c>
      <c r="M247" s="3" t="s">
        <v>155</v>
      </c>
      <c r="N247" s="3">
        <v>1</v>
      </c>
      <c r="O247" s="5">
        <v>0</v>
      </c>
      <c r="P247" s="6">
        <v>37.53</v>
      </c>
      <c r="Q247" s="6">
        <v>5.54</v>
      </c>
    </row>
    <row r="248" spans="1:17" x14ac:dyDescent="0.3">
      <c r="A248" s="3">
        <v>247</v>
      </c>
      <c r="B248" s="3" t="s">
        <v>555</v>
      </c>
      <c r="C248" s="4">
        <v>44775</v>
      </c>
      <c r="D248" s="4">
        <v>44776</v>
      </c>
      <c r="E248" s="3" t="s">
        <v>56</v>
      </c>
      <c r="F248" s="3" t="s">
        <v>556</v>
      </c>
      <c r="G248" s="3" t="s">
        <v>30</v>
      </c>
      <c r="H248" s="3" t="s">
        <v>90</v>
      </c>
      <c r="I248" s="3" t="s">
        <v>169</v>
      </c>
      <c r="J248" s="3" t="s">
        <v>170</v>
      </c>
      <c r="K248" s="3" t="s">
        <v>25</v>
      </c>
      <c r="L248" s="3" t="s">
        <v>80</v>
      </c>
      <c r="M248" s="3" t="s">
        <v>81</v>
      </c>
      <c r="N248" s="3">
        <v>13</v>
      </c>
      <c r="O248" s="5">
        <v>0.1</v>
      </c>
      <c r="P248" s="6">
        <v>183.34</v>
      </c>
      <c r="Q248" s="6">
        <v>21.16</v>
      </c>
    </row>
    <row r="249" spans="1:17" x14ac:dyDescent="0.3">
      <c r="A249" s="3">
        <v>248</v>
      </c>
      <c r="B249" s="3" t="s">
        <v>557</v>
      </c>
      <c r="C249" s="4">
        <v>45606</v>
      </c>
      <c r="D249" s="4">
        <v>45610</v>
      </c>
      <c r="E249" s="3" t="s">
        <v>62</v>
      </c>
      <c r="F249" s="3" t="s">
        <v>558</v>
      </c>
      <c r="G249" s="3" t="s">
        <v>21</v>
      </c>
      <c r="H249" s="3" t="s">
        <v>46</v>
      </c>
      <c r="I249" s="3" t="s">
        <v>78</v>
      </c>
      <c r="J249" s="3" t="s">
        <v>79</v>
      </c>
      <c r="K249" s="3" t="s">
        <v>33</v>
      </c>
      <c r="L249" s="3" t="s">
        <v>34</v>
      </c>
      <c r="M249" s="3" t="s">
        <v>35</v>
      </c>
      <c r="N249" s="3">
        <v>6</v>
      </c>
      <c r="O249" s="5">
        <v>0</v>
      </c>
      <c r="P249" s="6">
        <v>1099.75</v>
      </c>
      <c r="Q249" s="6">
        <v>168.24</v>
      </c>
    </row>
    <row r="250" spans="1:17" x14ac:dyDescent="0.3">
      <c r="A250" s="3">
        <v>249</v>
      </c>
      <c r="B250" s="3" t="s">
        <v>559</v>
      </c>
      <c r="C250" s="4">
        <v>44803</v>
      </c>
      <c r="D250" s="4">
        <v>44806</v>
      </c>
      <c r="E250" s="3" t="s">
        <v>62</v>
      </c>
      <c r="F250" s="3" t="s">
        <v>470</v>
      </c>
      <c r="G250" s="3" t="s">
        <v>30</v>
      </c>
      <c r="H250" s="3" t="s">
        <v>22</v>
      </c>
      <c r="I250" s="3" t="s">
        <v>23</v>
      </c>
      <c r="J250" s="3" t="s">
        <v>24</v>
      </c>
      <c r="K250" s="3" t="s">
        <v>58</v>
      </c>
      <c r="L250" s="3" t="s">
        <v>86</v>
      </c>
      <c r="M250" s="3" t="s">
        <v>211</v>
      </c>
      <c r="N250" s="3">
        <v>8</v>
      </c>
      <c r="O250" s="5">
        <v>0</v>
      </c>
      <c r="P250" s="6">
        <v>428.3</v>
      </c>
      <c r="Q250" s="6">
        <v>117.56</v>
      </c>
    </row>
    <row r="251" spans="1:17" x14ac:dyDescent="0.3">
      <c r="A251" s="3">
        <v>250</v>
      </c>
      <c r="B251" s="3" t="s">
        <v>560</v>
      </c>
      <c r="C251" s="4">
        <v>44870</v>
      </c>
      <c r="D251" s="4">
        <v>44873</v>
      </c>
      <c r="E251" s="3" t="s">
        <v>62</v>
      </c>
      <c r="F251" s="3" t="s">
        <v>470</v>
      </c>
      <c r="G251" s="3" t="s">
        <v>21</v>
      </c>
      <c r="H251" s="3" t="s">
        <v>22</v>
      </c>
      <c r="I251" s="3" t="s">
        <v>23</v>
      </c>
      <c r="J251" s="3" t="s">
        <v>24</v>
      </c>
      <c r="K251" s="3" t="s">
        <v>33</v>
      </c>
      <c r="L251" s="3" t="s">
        <v>95</v>
      </c>
      <c r="M251" s="3" t="s">
        <v>370</v>
      </c>
      <c r="N251" s="3">
        <v>8</v>
      </c>
      <c r="O251" s="5">
        <v>0.15</v>
      </c>
      <c r="P251" s="6">
        <v>5116.3900000000003</v>
      </c>
      <c r="Q251" s="6">
        <v>1417.68</v>
      </c>
    </row>
    <row r="252" spans="1:17" x14ac:dyDescent="0.3">
      <c r="A252" s="3">
        <v>251</v>
      </c>
      <c r="B252" s="3" t="s">
        <v>561</v>
      </c>
      <c r="C252" s="4">
        <v>45609</v>
      </c>
      <c r="D252" s="4">
        <v>45616</v>
      </c>
      <c r="E252" s="3" t="s">
        <v>56</v>
      </c>
      <c r="F252" s="3" t="s">
        <v>562</v>
      </c>
      <c r="G252" s="3" t="s">
        <v>30</v>
      </c>
      <c r="H252" s="3" t="s">
        <v>90</v>
      </c>
      <c r="I252" s="3" t="s">
        <v>110</v>
      </c>
      <c r="J252" s="3" t="s">
        <v>111</v>
      </c>
      <c r="K252" s="3" t="s">
        <v>58</v>
      </c>
      <c r="L252" s="3" t="s">
        <v>199</v>
      </c>
      <c r="M252" s="3" t="s">
        <v>200</v>
      </c>
      <c r="N252" s="3">
        <v>8</v>
      </c>
      <c r="O252" s="5">
        <v>0</v>
      </c>
      <c r="P252" s="6">
        <v>3247.62</v>
      </c>
      <c r="Q252" s="6">
        <v>-591.61</v>
      </c>
    </row>
    <row r="253" spans="1:17" x14ac:dyDescent="0.3">
      <c r="A253" s="3">
        <v>252</v>
      </c>
      <c r="B253" s="3" t="s">
        <v>563</v>
      </c>
      <c r="C253" s="4">
        <v>44256</v>
      </c>
      <c r="D253" s="4">
        <v>44263</v>
      </c>
      <c r="E253" s="3" t="s">
        <v>62</v>
      </c>
      <c r="F253" s="3" t="s">
        <v>462</v>
      </c>
      <c r="G253" s="3" t="s">
        <v>30</v>
      </c>
      <c r="H253" s="3" t="s">
        <v>90</v>
      </c>
      <c r="I253" s="3" t="s">
        <v>104</v>
      </c>
      <c r="J253" s="3" t="s">
        <v>105</v>
      </c>
      <c r="K253" s="3" t="s">
        <v>25</v>
      </c>
      <c r="L253" s="3" t="s">
        <v>106</v>
      </c>
      <c r="M253" s="3" t="s">
        <v>136</v>
      </c>
      <c r="N253" s="3">
        <v>11</v>
      </c>
      <c r="O253" s="5">
        <v>0</v>
      </c>
      <c r="P253" s="6">
        <v>1164.18</v>
      </c>
      <c r="Q253" s="6">
        <v>46.39</v>
      </c>
    </row>
    <row r="254" spans="1:17" x14ac:dyDescent="0.3">
      <c r="A254" s="3">
        <v>253</v>
      </c>
      <c r="B254" s="3" t="s">
        <v>564</v>
      </c>
      <c r="C254" s="4">
        <v>45585</v>
      </c>
      <c r="D254" s="4">
        <v>45590</v>
      </c>
      <c r="E254" s="3" t="s">
        <v>62</v>
      </c>
      <c r="F254" s="3" t="s">
        <v>247</v>
      </c>
      <c r="G254" s="3" t="s">
        <v>39</v>
      </c>
      <c r="H254" s="3" t="s">
        <v>22</v>
      </c>
      <c r="I254" s="3" t="s">
        <v>72</v>
      </c>
      <c r="J254" s="3" t="s">
        <v>73</v>
      </c>
      <c r="K254" s="3" t="s">
        <v>25</v>
      </c>
      <c r="L254" s="3" t="s">
        <v>116</v>
      </c>
      <c r="M254" s="3" t="s">
        <v>117</v>
      </c>
      <c r="N254" s="3">
        <v>13</v>
      </c>
      <c r="O254" s="5">
        <v>0.1</v>
      </c>
      <c r="P254" s="6">
        <v>1131.72</v>
      </c>
      <c r="Q254" s="6">
        <v>381.09</v>
      </c>
    </row>
    <row r="255" spans="1:17" x14ac:dyDescent="0.3">
      <c r="A255" s="3">
        <v>254</v>
      </c>
      <c r="B255" s="3" t="s">
        <v>565</v>
      </c>
      <c r="C255" s="4">
        <v>45510</v>
      </c>
      <c r="D255" s="4">
        <v>45514</v>
      </c>
      <c r="E255" s="3" t="s">
        <v>19</v>
      </c>
      <c r="F255" s="3" t="s">
        <v>63</v>
      </c>
      <c r="G255" s="3" t="s">
        <v>30</v>
      </c>
      <c r="H255" s="3" t="s">
        <v>90</v>
      </c>
      <c r="I255" s="3" t="s">
        <v>104</v>
      </c>
      <c r="J255" s="3" t="s">
        <v>105</v>
      </c>
      <c r="K255" s="3" t="s">
        <v>25</v>
      </c>
      <c r="L255" s="3" t="s">
        <v>53</v>
      </c>
      <c r="M255" s="3" t="s">
        <v>171</v>
      </c>
      <c r="N255" s="3">
        <v>3</v>
      </c>
      <c r="O255" s="5">
        <v>0</v>
      </c>
      <c r="P255" s="6">
        <v>303.02</v>
      </c>
      <c r="Q255" s="6">
        <v>-73.64</v>
      </c>
    </row>
    <row r="256" spans="1:17" x14ac:dyDescent="0.3">
      <c r="A256" s="3">
        <v>255</v>
      </c>
      <c r="B256" s="3" t="s">
        <v>566</v>
      </c>
      <c r="C256" s="4">
        <v>44300</v>
      </c>
      <c r="D256" s="4">
        <v>44305</v>
      </c>
      <c r="E256" s="3" t="s">
        <v>56</v>
      </c>
      <c r="F256" s="3" t="s">
        <v>567</v>
      </c>
      <c r="G256" s="3" t="s">
        <v>30</v>
      </c>
      <c r="H256" s="3" t="s">
        <v>22</v>
      </c>
      <c r="I256" s="3" t="s">
        <v>84</v>
      </c>
      <c r="J256" s="3" t="s">
        <v>85</v>
      </c>
      <c r="K256" s="3" t="s">
        <v>25</v>
      </c>
      <c r="L256" s="3" t="s">
        <v>106</v>
      </c>
      <c r="M256" s="3" t="s">
        <v>107</v>
      </c>
      <c r="N256" s="3">
        <v>4</v>
      </c>
      <c r="O256" s="5">
        <v>0.3</v>
      </c>
      <c r="P256" s="6">
        <v>243.73</v>
      </c>
      <c r="Q256" s="6">
        <v>-1.96</v>
      </c>
    </row>
    <row r="257" spans="1:17" x14ac:dyDescent="0.3">
      <c r="A257" s="3">
        <v>256</v>
      </c>
      <c r="B257" s="3" t="s">
        <v>568</v>
      </c>
      <c r="C257" s="4">
        <v>45535</v>
      </c>
      <c r="D257" s="4">
        <v>45536</v>
      </c>
      <c r="E257" s="3" t="s">
        <v>37</v>
      </c>
      <c r="F257" s="3" t="s">
        <v>569</v>
      </c>
      <c r="G257" s="3" t="s">
        <v>39</v>
      </c>
      <c r="H257" s="3" t="s">
        <v>22</v>
      </c>
      <c r="I257" s="3" t="s">
        <v>84</v>
      </c>
      <c r="J257" s="3" t="s">
        <v>85</v>
      </c>
      <c r="K257" s="3" t="s">
        <v>25</v>
      </c>
      <c r="L257" s="3" t="s">
        <v>116</v>
      </c>
      <c r="M257" s="3" t="s">
        <v>166</v>
      </c>
      <c r="N257" s="3">
        <v>2</v>
      </c>
      <c r="O257" s="5">
        <v>0</v>
      </c>
      <c r="P257" s="6">
        <v>99.21</v>
      </c>
      <c r="Q257" s="6">
        <v>8.36</v>
      </c>
    </row>
    <row r="258" spans="1:17" x14ac:dyDescent="0.3">
      <c r="A258" s="3">
        <v>257</v>
      </c>
      <c r="B258" s="3" t="s">
        <v>570</v>
      </c>
      <c r="C258" s="4">
        <v>44653</v>
      </c>
      <c r="D258" s="4">
        <v>44660</v>
      </c>
      <c r="E258" s="3" t="s">
        <v>19</v>
      </c>
      <c r="F258" s="3" t="s">
        <v>423</v>
      </c>
      <c r="G258" s="3" t="s">
        <v>21</v>
      </c>
      <c r="H258" s="3" t="s">
        <v>40</v>
      </c>
      <c r="I258" s="3" t="s">
        <v>185</v>
      </c>
      <c r="J258" s="3" t="s">
        <v>186</v>
      </c>
      <c r="K258" s="3" t="s">
        <v>58</v>
      </c>
      <c r="L258" s="3" t="s">
        <v>199</v>
      </c>
      <c r="M258" s="3" t="s">
        <v>571</v>
      </c>
      <c r="N258" s="3">
        <v>8</v>
      </c>
      <c r="O258" s="5">
        <v>0.4</v>
      </c>
      <c r="P258" s="6">
        <v>1309.6300000000001</v>
      </c>
      <c r="Q258" s="6">
        <v>235.73</v>
      </c>
    </row>
    <row r="259" spans="1:17" x14ac:dyDescent="0.3">
      <c r="A259" s="3">
        <v>258</v>
      </c>
      <c r="B259" s="3" t="s">
        <v>572</v>
      </c>
      <c r="C259" s="4">
        <v>45318</v>
      </c>
      <c r="D259" s="4">
        <v>45323</v>
      </c>
      <c r="E259" s="3" t="s">
        <v>37</v>
      </c>
      <c r="F259" s="3" t="s">
        <v>573</v>
      </c>
      <c r="G259" s="3" t="s">
        <v>21</v>
      </c>
      <c r="H259" s="3" t="s">
        <v>22</v>
      </c>
      <c r="I259" s="3" t="s">
        <v>72</v>
      </c>
      <c r="J259" s="3" t="s">
        <v>73</v>
      </c>
      <c r="K259" s="3" t="s">
        <v>25</v>
      </c>
      <c r="L259" s="3" t="s">
        <v>53</v>
      </c>
      <c r="M259" s="3" t="s">
        <v>54</v>
      </c>
      <c r="N259" s="3">
        <v>6</v>
      </c>
      <c r="O259" s="5">
        <v>0</v>
      </c>
      <c r="P259" s="6">
        <v>509.08</v>
      </c>
      <c r="Q259" s="6">
        <v>146.68</v>
      </c>
    </row>
    <row r="260" spans="1:17" x14ac:dyDescent="0.3">
      <c r="A260" s="3">
        <v>259</v>
      </c>
      <c r="B260" s="3" t="s">
        <v>574</v>
      </c>
      <c r="C260" s="4">
        <v>45133</v>
      </c>
      <c r="D260" s="4">
        <v>45140</v>
      </c>
      <c r="E260" s="3" t="s">
        <v>56</v>
      </c>
      <c r="F260" s="3" t="s">
        <v>575</v>
      </c>
      <c r="G260" s="3" t="s">
        <v>21</v>
      </c>
      <c r="H260" s="3" t="s">
        <v>40</v>
      </c>
      <c r="I260" s="3" t="s">
        <v>114</v>
      </c>
      <c r="J260" s="3" t="s">
        <v>115</v>
      </c>
      <c r="K260" s="3" t="s">
        <v>33</v>
      </c>
      <c r="L260" s="3" t="s">
        <v>34</v>
      </c>
      <c r="M260" s="3" t="s">
        <v>35</v>
      </c>
      <c r="N260" s="3">
        <v>13</v>
      </c>
      <c r="O260" s="5">
        <v>0.2</v>
      </c>
      <c r="P260" s="6">
        <v>1877.49</v>
      </c>
      <c r="Q260" s="6">
        <v>-347.98</v>
      </c>
    </row>
    <row r="261" spans="1:17" x14ac:dyDescent="0.3">
      <c r="A261" s="3">
        <v>260</v>
      </c>
      <c r="B261" s="3" t="s">
        <v>576</v>
      </c>
      <c r="C261" s="4">
        <v>44205</v>
      </c>
      <c r="D261" s="4">
        <v>44210</v>
      </c>
      <c r="E261" s="3" t="s">
        <v>19</v>
      </c>
      <c r="F261" s="3" t="s">
        <v>436</v>
      </c>
      <c r="G261" s="3" t="s">
        <v>39</v>
      </c>
      <c r="H261" s="3" t="s">
        <v>90</v>
      </c>
      <c r="I261" s="3" t="s">
        <v>91</v>
      </c>
      <c r="J261" s="3" t="s">
        <v>92</v>
      </c>
      <c r="K261" s="3" t="s">
        <v>58</v>
      </c>
      <c r="L261" s="3" t="s">
        <v>86</v>
      </c>
      <c r="M261" s="3" t="s">
        <v>211</v>
      </c>
      <c r="N261" s="3">
        <v>12</v>
      </c>
      <c r="O261" s="5">
        <v>0.3</v>
      </c>
      <c r="P261" s="6">
        <v>576.89</v>
      </c>
      <c r="Q261" s="6">
        <v>146.12</v>
      </c>
    </row>
    <row r="262" spans="1:17" x14ac:dyDescent="0.3">
      <c r="A262" s="3">
        <v>261</v>
      </c>
      <c r="B262" s="3" t="s">
        <v>577</v>
      </c>
      <c r="C262" s="4">
        <v>45229</v>
      </c>
      <c r="D262" s="4">
        <v>45233</v>
      </c>
      <c r="E262" s="3" t="s">
        <v>19</v>
      </c>
      <c r="F262" s="3" t="s">
        <v>345</v>
      </c>
      <c r="G262" s="3" t="s">
        <v>21</v>
      </c>
      <c r="H262" s="3" t="s">
        <v>40</v>
      </c>
      <c r="I262" s="3" t="s">
        <v>158</v>
      </c>
      <c r="J262" s="3" t="s">
        <v>159</v>
      </c>
      <c r="K262" s="3" t="s">
        <v>25</v>
      </c>
      <c r="L262" s="3" t="s">
        <v>80</v>
      </c>
      <c r="M262" s="3" t="s">
        <v>150</v>
      </c>
      <c r="N262" s="3">
        <v>7</v>
      </c>
      <c r="O262" s="5">
        <v>0.1</v>
      </c>
      <c r="P262" s="6">
        <v>798.38</v>
      </c>
      <c r="Q262" s="6">
        <v>-68.53</v>
      </c>
    </row>
    <row r="263" spans="1:17" x14ac:dyDescent="0.3">
      <c r="A263" s="3">
        <v>262</v>
      </c>
      <c r="B263" s="3" t="s">
        <v>578</v>
      </c>
      <c r="C263" s="4">
        <v>44809</v>
      </c>
      <c r="D263" s="4">
        <v>44816</v>
      </c>
      <c r="E263" s="3" t="s">
        <v>37</v>
      </c>
      <c r="F263" s="3" t="s">
        <v>399</v>
      </c>
      <c r="G263" s="3" t="s">
        <v>39</v>
      </c>
      <c r="H263" s="3" t="s">
        <v>90</v>
      </c>
      <c r="I263" s="3" t="s">
        <v>91</v>
      </c>
      <c r="J263" s="3" t="s">
        <v>92</v>
      </c>
      <c r="K263" s="3" t="s">
        <v>25</v>
      </c>
      <c r="L263" s="3" t="s">
        <v>53</v>
      </c>
      <c r="M263" s="3" t="s">
        <v>171</v>
      </c>
      <c r="N263" s="3">
        <v>12</v>
      </c>
      <c r="O263" s="5">
        <v>0.2</v>
      </c>
      <c r="P263" s="6">
        <v>751.71</v>
      </c>
      <c r="Q263" s="6">
        <v>133.15</v>
      </c>
    </row>
    <row r="264" spans="1:17" x14ac:dyDescent="0.3">
      <c r="A264" s="3">
        <v>263</v>
      </c>
      <c r="B264" s="3" t="s">
        <v>579</v>
      </c>
      <c r="C264" s="4">
        <v>45308</v>
      </c>
      <c r="D264" s="4">
        <v>45314</v>
      </c>
      <c r="E264" s="3" t="s">
        <v>56</v>
      </c>
      <c r="F264" s="3" t="s">
        <v>119</v>
      </c>
      <c r="G264" s="3" t="s">
        <v>39</v>
      </c>
      <c r="H264" s="3" t="s">
        <v>46</v>
      </c>
      <c r="I264" s="3" t="s">
        <v>78</v>
      </c>
      <c r="J264" s="3" t="s">
        <v>79</v>
      </c>
      <c r="K264" s="3" t="s">
        <v>58</v>
      </c>
      <c r="L264" s="3" t="s">
        <v>86</v>
      </c>
      <c r="M264" s="3" t="s">
        <v>133</v>
      </c>
      <c r="N264" s="3">
        <v>11</v>
      </c>
      <c r="O264" s="5">
        <v>0</v>
      </c>
      <c r="P264" s="6">
        <v>1996.71</v>
      </c>
      <c r="Q264" s="6">
        <v>412.25</v>
      </c>
    </row>
    <row r="265" spans="1:17" x14ac:dyDescent="0.3">
      <c r="A265" s="3">
        <v>264</v>
      </c>
      <c r="B265" s="3" t="s">
        <v>580</v>
      </c>
      <c r="C265" s="4">
        <v>44977</v>
      </c>
      <c r="D265" s="4">
        <v>44979</v>
      </c>
      <c r="E265" s="3" t="s">
        <v>62</v>
      </c>
      <c r="F265" s="3" t="s">
        <v>401</v>
      </c>
      <c r="G265" s="3" t="s">
        <v>21</v>
      </c>
      <c r="H265" s="3" t="s">
        <v>46</v>
      </c>
      <c r="I265" s="3" t="s">
        <v>146</v>
      </c>
      <c r="J265" s="3" t="s">
        <v>147</v>
      </c>
      <c r="K265" s="3" t="s">
        <v>58</v>
      </c>
      <c r="L265" s="3" t="s">
        <v>59</v>
      </c>
      <c r="M265" s="3" t="s">
        <v>60</v>
      </c>
      <c r="N265" s="3">
        <v>1</v>
      </c>
      <c r="O265" s="5">
        <v>0.1</v>
      </c>
      <c r="P265" s="6">
        <v>334.67</v>
      </c>
      <c r="Q265" s="6">
        <v>-30.06</v>
      </c>
    </row>
    <row r="266" spans="1:17" x14ac:dyDescent="0.3">
      <c r="A266" s="3">
        <v>265</v>
      </c>
      <c r="B266" s="3" t="s">
        <v>581</v>
      </c>
      <c r="C266" s="4">
        <v>45123</v>
      </c>
      <c r="D266" s="4">
        <v>45124</v>
      </c>
      <c r="E266" s="3" t="s">
        <v>37</v>
      </c>
      <c r="F266" s="3" t="s">
        <v>582</v>
      </c>
      <c r="G266" s="3" t="s">
        <v>39</v>
      </c>
      <c r="H266" s="3" t="s">
        <v>46</v>
      </c>
      <c r="I266" s="3" t="s">
        <v>78</v>
      </c>
      <c r="J266" s="3" t="s">
        <v>79</v>
      </c>
      <c r="K266" s="3" t="s">
        <v>25</v>
      </c>
      <c r="L266" s="3" t="s">
        <v>116</v>
      </c>
      <c r="M266" s="3" t="s">
        <v>166</v>
      </c>
      <c r="N266" s="3">
        <v>10</v>
      </c>
      <c r="O266" s="5">
        <v>0.1</v>
      </c>
      <c r="P266" s="6">
        <v>1012.95</v>
      </c>
      <c r="Q266" s="6">
        <v>197.98</v>
      </c>
    </row>
    <row r="267" spans="1:17" x14ac:dyDescent="0.3">
      <c r="A267" s="3">
        <v>266</v>
      </c>
      <c r="B267" s="3" t="s">
        <v>583</v>
      </c>
      <c r="C267" s="4">
        <v>45327</v>
      </c>
      <c r="D267" s="4">
        <v>45328</v>
      </c>
      <c r="E267" s="3" t="s">
        <v>19</v>
      </c>
      <c r="F267" s="3" t="s">
        <v>584</v>
      </c>
      <c r="G267" s="3" t="s">
        <v>39</v>
      </c>
      <c r="H267" s="3" t="s">
        <v>22</v>
      </c>
      <c r="I267" s="3" t="s">
        <v>84</v>
      </c>
      <c r="J267" s="3" t="s">
        <v>85</v>
      </c>
      <c r="K267" s="3" t="s">
        <v>25</v>
      </c>
      <c r="L267" s="3" t="s">
        <v>53</v>
      </c>
      <c r="M267" s="3" t="s">
        <v>54</v>
      </c>
      <c r="N267" s="3">
        <v>1</v>
      </c>
      <c r="O267" s="5">
        <v>0.1</v>
      </c>
      <c r="P267" s="6">
        <v>87.06</v>
      </c>
      <c r="Q267" s="6">
        <v>10.65</v>
      </c>
    </row>
    <row r="268" spans="1:17" x14ac:dyDescent="0.3">
      <c r="A268" s="3">
        <v>267</v>
      </c>
      <c r="B268" s="3" t="s">
        <v>585</v>
      </c>
      <c r="C268" s="4">
        <v>44579</v>
      </c>
      <c r="D268" s="4">
        <v>44581</v>
      </c>
      <c r="E268" s="3" t="s">
        <v>19</v>
      </c>
      <c r="F268" s="3" t="s">
        <v>367</v>
      </c>
      <c r="G268" s="3" t="s">
        <v>21</v>
      </c>
      <c r="H268" s="3" t="s">
        <v>40</v>
      </c>
      <c r="I268" s="3" t="s">
        <v>41</v>
      </c>
      <c r="J268" s="3" t="s">
        <v>42</v>
      </c>
      <c r="K268" s="3" t="s">
        <v>25</v>
      </c>
      <c r="L268" s="3" t="s">
        <v>53</v>
      </c>
      <c r="M268" s="3" t="s">
        <v>139</v>
      </c>
      <c r="N268" s="3">
        <v>12</v>
      </c>
      <c r="O268" s="5">
        <v>0.3</v>
      </c>
      <c r="P268" s="6">
        <v>683.96</v>
      </c>
      <c r="Q268" s="6">
        <v>-154.31</v>
      </c>
    </row>
    <row r="269" spans="1:17" x14ac:dyDescent="0.3">
      <c r="A269" s="3">
        <v>268</v>
      </c>
      <c r="B269" s="3" t="s">
        <v>586</v>
      </c>
      <c r="C269" s="4">
        <v>44278</v>
      </c>
      <c r="D269" s="4">
        <v>44280</v>
      </c>
      <c r="E269" s="3" t="s">
        <v>19</v>
      </c>
      <c r="F269" s="3" t="s">
        <v>336</v>
      </c>
      <c r="G269" s="3" t="s">
        <v>39</v>
      </c>
      <c r="H269" s="3" t="s">
        <v>46</v>
      </c>
      <c r="I269" s="3" t="s">
        <v>257</v>
      </c>
      <c r="J269" s="3" t="s">
        <v>258</v>
      </c>
      <c r="K269" s="3" t="s">
        <v>25</v>
      </c>
      <c r="L269" s="3" t="s">
        <v>53</v>
      </c>
      <c r="M269" s="3" t="s">
        <v>139</v>
      </c>
      <c r="N269" s="3">
        <v>6</v>
      </c>
      <c r="O269" s="5">
        <v>0.15</v>
      </c>
      <c r="P269" s="6">
        <v>415.03</v>
      </c>
      <c r="Q269" s="6">
        <v>18.399999999999999</v>
      </c>
    </row>
    <row r="270" spans="1:17" x14ac:dyDescent="0.3">
      <c r="A270" s="3">
        <v>269</v>
      </c>
      <c r="B270" s="3" t="s">
        <v>587</v>
      </c>
      <c r="C270" s="4">
        <v>45309</v>
      </c>
      <c r="D270" s="4">
        <v>45314</v>
      </c>
      <c r="E270" s="3" t="s">
        <v>19</v>
      </c>
      <c r="F270" s="3" t="s">
        <v>588</v>
      </c>
      <c r="G270" s="3" t="s">
        <v>30</v>
      </c>
      <c r="H270" s="3" t="s">
        <v>40</v>
      </c>
      <c r="I270" s="3" t="s">
        <v>223</v>
      </c>
      <c r="J270" s="3" t="s">
        <v>224</v>
      </c>
      <c r="K270" s="3" t="s">
        <v>33</v>
      </c>
      <c r="L270" s="3" t="s">
        <v>95</v>
      </c>
      <c r="M270" s="3" t="s">
        <v>120</v>
      </c>
      <c r="N270" s="3">
        <v>7</v>
      </c>
      <c r="O270" s="5">
        <v>0.1</v>
      </c>
      <c r="P270" s="6">
        <v>591.16</v>
      </c>
      <c r="Q270" s="6">
        <v>165.55</v>
      </c>
    </row>
    <row r="271" spans="1:17" x14ac:dyDescent="0.3">
      <c r="A271" s="3">
        <v>270</v>
      </c>
      <c r="B271" s="3" t="s">
        <v>589</v>
      </c>
      <c r="C271" s="4">
        <v>45566</v>
      </c>
      <c r="D271" s="4">
        <v>45569</v>
      </c>
      <c r="E271" s="3" t="s">
        <v>37</v>
      </c>
      <c r="F271" s="3" t="s">
        <v>590</v>
      </c>
      <c r="G271" s="3" t="s">
        <v>30</v>
      </c>
      <c r="H271" s="3" t="s">
        <v>90</v>
      </c>
      <c r="I271" s="3" t="s">
        <v>91</v>
      </c>
      <c r="J271" s="3" t="s">
        <v>92</v>
      </c>
      <c r="K271" s="3" t="s">
        <v>58</v>
      </c>
      <c r="L271" s="3" t="s">
        <v>59</v>
      </c>
      <c r="M271" s="3" t="s">
        <v>60</v>
      </c>
      <c r="N271" s="3">
        <v>8</v>
      </c>
      <c r="O271" s="5">
        <v>0.1</v>
      </c>
      <c r="P271" s="6">
        <v>1109.4000000000001</v>
      </c>
      <c r="Q271" s="6">
        <v>360.93</v>
      </c>
    </row>
    <row r="272" spans="1:17" x14ac:dyDescent="0.3">
      <c r="A272" s="3">
        <v>271</v>
      </c>
      <c r="B272" s="3" t="s">
        <v>591</v>
      </c>
      <c r="C272" s="4">
        <v>45238</v>
      </c>
      <c r="D272" s="4">
        <v>45242</v>
      </c>
      <c r="E272" s="3" t="s">
        <v>62</v>
      </c>
      <c r="F272" s="3" t="s">
        <v>389</v>
      </c>
      <c r="G272" s="3" t="s">
        <v>39</v>
      </c>
      <c r="H272" s="3" t="s">
        <v>46</v>
      </c>
      <c r="I272" s="3" t="s">
        <v>257</v>
      </c>
      <c r="J272" s="3" t="s">
        <v>258</v>
      </c>
      <c r="K272" s="3" t="s">
        <v>58</v>
      </c>
      <c r="L272" s="3" t="s">
        <v>199</v>
      </c>
      <c r="M272" s="3" t="s">
        <v>205</v>
      </c>
      <c r="N272" s="3">
        <v>8</v>
      </c>
      <c r="O272" s="5">
        <v>0.1</v>
      </c>
      <c r="P272" s="6">
        <v>392.74</v>
      </c>
      <c r="Q272" s="6">
        <v>-22.71</v>
      </c>
    </row>
    <row r="273" spans="1:17" x14ac:dyDescent="0.3">
      <c r="A273" s="3">
        <v>272</v>
      </c>
      <c r="B273" s="3" t="s">
        <v>592</v>
      </c>
      <c r="C273" s="4">
        <v>45065</v>
      </c>
      <c r="D273" s="4">
        <v>45072</v>
      </c>
      <c r="E273" s="3" t="s">
        <v>37</v>
      </c>
      <c r="F273" s="3" t="s">
        <v>264</v>
      </c>
      <c r="G273" s="3" t="s">
        <v>30</v>
      </c>
      <c r="H273" s="3" t="s">
        <v>22</v>
      </c>
      <c r="I273" s="3" t="s">
        <v>68</v>
      </c>
      <c r="J273" s="3" t="s">
        <v>69</v>
      </c>
      <c r="K273" s="3" t="s">
        <v>25</v>
      </c>
      <c r="L273" s="3" t="s">
        <v>26</v>
      </c>
      <c r="M273" s="3" t="s">
        <v>155</v>
      </c>
      <c r="N273" s="3">
        <v>2</v>
      </c>
      <c r="O273" s="5">
        <v>0.3</v>
      </c>
      <c r="P273" s="6">
        <v>47.79</v>
      </c>
      <c r="Q273" s="6">
        <v>6.59</v>
      </c>
    </row>
    <row r="274" spans="1:17" x14ac:dyDescent="0.3">
      <c r="A274" s="3">
        <v>273</v>
      </c>
      <c r="B274" s="3" t="s">
        <v>593</v>
      </c>
      <c r="C274" s="4">
        <v>45339</v>
      </c>
      <c r="D274" s="4">
        <v>45340</v>
      </c>
      <c r="E274" s="3" t="s">
        <v>62</v>
      </c>
      <c r="F274" s="3" t="s">
        <v>280</v>
      </c>
      <c r="G274" s="3" t="s">
        <v>30</v>
      </c>
      <c r="H274" s="3" t="s">
        <v>22</v>
      </c>
      <c r="I274" s="3" t="s">
        <v>23</v>
      </c>
      <c r="J274" s="3" t="s">
        <v>24</v>
      </c>
      <c r="K274" s="3" t="s">
        <v>33</v>
      </c>
      <c r="L274" s="3" t="s">
        <v>95</v>
      </c>
      <c r="M274" s="3" t="s">
        <v>96</v>
      </c>
      <c r="N274" s="3">
        <v>10</v>
      </c>
      <c r="O274" s="5">
        <v>0.15</v>
      </c>
      <c r="P274" s="6">
        <v>5535.11</v>
      </c>
      <c r="Q274" s="6">
        <v>-30</v>
      </c>
    </row>
    <row r="275" spans="1:17" x14ac:dyDescent="0.3">
      <c r="A275" s="3">
        <v>274</v>
      </c>
      <c r="B275" s="3" t="s">
        <v>594</v>
      </c>
      <c r="C275" s="4">
        <v>45463</v>
      </c>
      <c r="D275" s="4">
        <v>45464</v>
      </c>
      <c r="E275" s="3" t="s">
        <v>37</v>
      </c>
      <c r="F275" s="3" t="s">
        <v>595</v>
      </c>
      <c r="G275" s="3" t="s">
        <v>21</v>
      </c>
      <c r="H275" s="3" t="s">
        <v>90</v>
      </c>
      <c r="I275" s="3" t="s">
        <v>169</v>
      </c>
      <c r="J275" s="3" t="s">
        <v>170</v>
      </c>
      <c r="K275" s="3" t="s">
        <v>25</v>
      </c>
      <c r="L275" s="3" t="s">
        <v>53</v>
      </c>
      <c r="M275" s="3" t="s">
        <v>171</v>
      </c>
      <c r="N275" s="3">
        <v>13</v>
      </c>
      <c r="O275" s="5">
        <v>0</v>
      </c>
      <c r="P275" s="6">
        <v>1170.29</v>
      </c>
      <c r="Q275" s="6">
        <v>199.57</v>
      </c>
    </row>
    <row r="276" spans="1:17" x14ac:dyDescent="0.3">
      <c r="A276" s="3">
        <v>275</v>
      </c>
      <c r="B276" s="3" t="s">
        <v>596</v>
      </c>
      <c r="C276" s="4">
        <v>45006</v>
      </c>
      <c r="D276" s="4">
        <v>45013</v>
      </c>
      <c r="E276" s="3" t="s">
        <v>19</v>
      </c>
      <c r="F276" s="3" t="s">
        <v>145</v>
      </c>
      <c r="G276" s="3" t="s">
        <v>30</v>
      </c>
      <c r="H276" s="3" t="s">
        <v>46</v>
      </c>
      <c r="I276" s="3" t="s">
        <v>47</v>
      </c>
      <c r="J276" s="3" t="s">
        <v>48</v>
      </c>
      <c r="K276" s="3" t="s">
        <v>33</v>
      </c>
      <c r="L276" s="3" t="s">
        <v>34</v>
      </c>
      <c r="M276" s="3" t="s">
        <v>597</v>
      </c>
      <c r="N276" s="3">
        <v>11</v>
      </c>
      <c r="O276" s="5">
        <v>0</v>
      </c>
      <c r="P276" s="6">
        <v>503.83</v>
      </c>
      <c r="Q276" s="6">
        <v>35.31</v>
      </c>
    </row>
    <row r="277" spans="1:17" x14ac:dyDescent="0.3">
      <c r="A277" s="3">
        <v>276</v>
      </c>
      <c r="B277" s="3" t="s">
        <v>598</v>
      </c>
      <c r="C277" s="4">
        <v>45333</v>
      </c>
      <c r="D277" s="4">
        <v>45335</v>
      </c>
      <c r="E277" s="3" t="s">
        <v>37</v>
      </c>
      <c r="F277" s="3" t="s">
        <v>468</v>
      </c>
      <c r="G277" s="3" t="s">
        <v>39</v>
      </c>
      <c r="H277" s="3" t="s">
        <v>46</v>
      </c>
      <c r="I277" s="3" t="s">
        <v>281</v>
      </c>
      <c r="J277" s="3" t="s">
        <v>282</v>
      </c>
      <c r="K277" s="3" t="s">
        <v>58</v>
      </c>
      <c r="L277" s="3" t="s">
        <v>59</v>
      </c>
      <c r="M277" s="3" t="s">
        <v>295</v>
      </c>
      <c r="N277" s="3">
        <v>2</v>
      </c>
      <c r="O277" s="5">
        <v>0.3</v>
      </c>
      <c r="P277" s="6">
        <v>90.33</v>
      </c>
      <c r="Q277" s="6">
        <v>6.53</v>
      </c>
    </row>
    <row r="278" spans="1:17" x14ac:dyDescent="0.3">
      <c r="A278" s="3">
        <v>277</v>
      </c>
      <c r="B278" s="3" t="s">
        <v>599</v>
      </c>
      <c r="C278" s="4">
        <v>44573</v>
      </c>
      <c r="D278" s="4">
        <v>44575</v>
      </c>
      <c r="E278" s="3" t="s">
        <v>62</v>
      </c>
      <c r="F278" s="3" t="s">
        <v>157</v>
      </c>
      <c r="G278" s="3" t="s">
        <v>39</v>
      </c>
      <c r="H278" s="3" t="s">
        <v>40</v>
      </c>
      <c r="I278" s="3" t="s">
        <v>185</v>
      </c>
      <c r="J278" s="3" t="s">
        <v>186</v>
      </c>
      <c r="K278" s="3" t="s">
        <v>58</v>
      </c>
      <c r="L278" s="3" t="s">
        <v>86</v>
      </c>
      <c r="M278" s="3" t="s">
        <v>87</v>
      </c>
      <c r="N278" s="3">
        <v>10</v>
      </c>
      <c r="O278" s="5">
        <v>0.1</v>
      </c>
      <c r="P278" s="6">
        <v>4096.62</v>
      </c>
      <c r="Q278" s="6">
        <v>-742.42</v>
      </c>
    </row>
    <row r="279" spans="1:17" x14ac:dyDescent="0.3">
      <c r="A279" s="3">
        <v>278</v>
      </c>
      <c r="B279" s="3" t="s">
        <v>600</v>
      </c>
      <c r="C279" s="4">
        <v>45386</v>
      </c>
      <c r="D279" s="4">
        <v>45390</v>
      </c>
      <c r="E279" s="3" t="s">
        <v>56</v>
      </c>
      <c r="F279" s="3" t="s">
        <v>601</v>
      </c>
      <c r="G279" s="3" t="s">
        <v>30</v>
      </c>
      <c r="H279" s="3" t="s">
        <v>46</v>
      </c>
      <c r="I279" s="3" t="s">
        <v>257</v>
      </c>
      <c r="J279" s="3" t="s">
        <v>258</v>
      </c>
      <c r="K279" s="3" t="s">
        <v>25</v>
      </c>
      <c r="L279" s="3" t="s">
        <v>26</v>
      </c>
      <c r="M279" s="3" t="s">
        <v>155</v>
      </c>
      <c r="N279" s="3">
        <v>6</v>
      </c>
      <c r="O279" s="5">
        <v>0.1</v>
      </c>
      <c r="P279" s="6">
        <v>256.91000000000003</v>
      </c>
      <c r="Q279" s="6">
        <v>-48.81</v>
      </c>
    </row>
    <row r="280" spans="1:17" x14ac:dyDescent="0.3">
      <c r="A280" s="3">
        <v>279</v>
      </c>
      <c r="B280" s="3" t="s">
        <v>602</v>
      </c>
      <c r="C280" s="4">
        <v>44509</v>
      </c>
      <c r="D280" s="4">
        <v>44514</v>
      </c>
      <c r="E280" s="3" t="s">
        <v>19</v>
      </c>
      <c r="F280" s="3" t="s">
        <v>603</v>
      </c>
      <c r="G280" s="3" t="s">
        <v>21</v>
      </c>
      <c r="H280" s="3" t="s">
        <v>46</v>
      </c>
      <c r="I280" s="3" t="s">
        <v>47</v>
      </c>
      <c r="J280" s="3" t="s">
        <v>48</v>
      </c>
      <c r="K280" s="3" t="s">
        <v>25</v>
      </c>
      <c r="L280" s="3" t="s">
        <v>53</v>
      </c>
      <c r="M280" s="3" t="s">
        <v>171</v>
      </c>
      <c r="N280" s="3">
        <v>10</v>
      </c>
      <c r="O280" s="5">
        <v>0.2</v>
      </c>
      <c r="P280" s="6">
        <v>423.1</v>
      </c>
      <c r="Q280" s="6">
        <v>137.59</v>
      </c>
    </row>
    <row r="281" spans="1:17" x14ac:dyDescent="0.3">
      <c r="A281" s="3">
        <v>280</v>
      </c>
      <c r="B281" s="3" t="s">
        <v>604</v>
      </c>
      <c r="C281" s="4">
        <v>44876</v>
      </c>
      <c r="D281" s="4">
        <v>44880</v>
      </c>
      <c r="E281" s="3" t="s">
        <v>37</v>
      </c>
      <c r="F281" s="3" t="s">
        <v>605</v>
      </c>
      <c r="G281" s="3" t="s">
        <v>21</v>
      </c>
      <c r="H281" s="3" t="s">
        <v>90</v>
      </c>
      <c r="I281" s="3" t="s">
        <v>99</v>
      </c>
      <c r="J281" s="3" t="s">
        <v>100</v>
      </c>
      <c r="K281" s="3" t="s">
        <v>58</v>
      </c>
      <c r="L281" s="3" t="s">
        <v>86</v>
      </c>
      <c r="M281" s="3" t="s">
        <v>133</v>
      </c>
      <c r="N281" s="3">
        <v>8</v>
      </c>
      <c r="O281" s="5">
        <v>0.15</v>
      </c>
      <c r="P281" s="6">
        <v>1828.39</v>
      </c>
      <c r="Q281" s="6">
        <v>77.13</v>
      </c>
    </row>
    <row r="282" spans="1:17" x14ac:dyDescent="0.3">
      <c r="A282" s="3">
        <v>281</v>
      </c>
      <c r="B282" s="3" t="s">
        <v>606</v>
      </c>
      <c r="C282" s="4">
        <v>44235</v>
      </c>
      <c r="D282" s="4">
        <v>44242</v>
      </c>
      <c r="E282" s="3" t="s">
        <v>56</v>
      </c>
      <c r="F282" s="3" t="s">
        <v>607</v>
      </c>
      <c r="G282" s="3" t="s">
        <v>30</v>
      </c>
      <c r="H282" s="3" t="s">
        <v>40</v>
      </c>
      <c r="I282" s="3" t="s">
        <v>223</v>
      </c>
      <c r="J282" s="3" t="s">
        <v>224</v>
      </c>
      <c r="K282" s="3" t="s">
        <v>33</v>
      </c>
      <c r="L282" s="3" t="s">
        <v>49</v>
      </c>
      <c r="M282" s="3" t="s">
        <v>50</v>
      </c>
      <c r="N282" s="3">
        <v>9</v>
      </c>
      <c r="O282" s="5">
        <v>0.3</v>
      </c>
      <c r="P282" s="6">
        <v>3696.54</v>
      </c>
      <c r="Q282" s="6">
        <v>781.89</v>
      </c>
    </row>
    <row r="283" spans="1:17" x14ac:dyDescent="0.3">
      <c r="A283" s="3">
        <v>282</v>
      </c>
      <c r="B283" s="3" t="s">
        <v>608</v>
      </c>
      <c r="C283" s="4">
        <v>44471</v>
      </c>
      <c r="D283" s="4">
        <v>44475</v>
      </c>
      <c r="E283" s="3" t="s">
        <v>19</v>
      </c>
      <c r="F283" s="3" t="s">
        <v>609</v>
      </c>
      <c r="G283" s="3" t="s">
        <v>39</v>
      </c>
      <c r="H283" s="3" t="s">
        <v>40</v>
      </c>
      <c r="I283" s="3" t="s">
        <v>41</v>
      </c>
      <c r="J283" s="3" t="s">
        <v>42</v>
      </c>
      <c r="K283" s="3" t="s">
        <v>25</v>
      </c>
      <c r="L283" s="3" t="s">
        <v>80</v>
      </c>
      <c r="M283" s="3" t="s">
        <v>150</v>
      </c>
      <c r="N283" s="3">
        <v>9</v>
      </c>
      <c r="O283" s="5">
        <v>0.3</v>
      </c>
      <c r="P283" s="6">
        <v>509.65</v>
      </c>
      <c r="Q283" s="6">
        <v>-16.149999999999999</v>
      </c>
    </row>
    <row r="284" spans="1:17" x14ac:dyDescent="0.3">
      <c r="A284" s="3">
        <v>283</v>
      </c>
      <c r="B284" s="3" t="s">
        <v>610</v>
      </c>
      <c r="C284" s="4">
        <v>44931</v>
      </c>
      <c r="D284" s="4">
        <v>44932</v>
      </c>
      <c r="E284" s="3" t="s">
        <v>19</v>
      </c>
      <c r="F284" s="3" t="s">
        <v>77</v>
      </c>
      <c r="G284" s="3" t="s">
        <v>39</v>
      </c>
      <c r="H284" s="3" t="s">
        <v>40</v>
      </c>
      <c r="I284" s="3" t="s">
        <v>185</v>
      </c>
      <c r="J284" s="3" t="s">
        <v>186</v>
      </c>
      <c r="K284" s="3" t="s">
        <v>33</v>
      </c>
      <c r="L284" s="3" t="s">
        <v>95</v>
      </c>
      <c r="M284" s="3" t="s">
        <v>120</v>
      </c>
      <c r="N284" s="3">
        <v>4</v>
      </c>
      <c r="O284" s="5">
        <v>0.1</v>
      </c>
      <c r="P284" s="6">
        <v>2091.3000000000002</v>
      </c>
      <c r="Q284" s="6">
        <v>-443.95</v>
      </c>
    </row>
    <row r="285" spans="1:17" x14ac:dyDescent="0.3">
      <c r="A285" s="3">
        <v>284</v>
      </c>
      <c r="B285" s="3" t="s">
        <v>611</v>
      </c>
      <c r="C285" s="4">
        <v>44278</v>
      </c>
      <c r="D285" s="4">
        <v>44284</v>
      </c>
      <c r="E285" s="3" t="s">
        <v>19</v>
      </c>
      <c r="F285" s="3" t="s">
        <v>612</v>
      </c>
      <c r="G285" s="3" t="s">
        <v>39</v>
      </c>
      <c r="H285" s="3" t="s">
        <v>46</v>
      </c>
      <c r="I285" s="3" t="s">
        <v>146</v>
      </c>
      <c r="J285" s="3" t="s">
        <v>147</v>
      </c>
      <c r="K285" s="3" t="s">
        <v>25</v>
      </c>
      <c r="L285" s="3" t="s">
        <v>74</v>
      </c>
      <c r="M285" s="3" t="s">
        <v>75</v>
      </c>
      <c r="N285" s="3">
        <v>6</v>
      </c>
      <c r="O285" s="5">
        <v>0.15</v>
      </c>
      <c r="P285" s="6">
        <v>81.25</v>
      </c>
      <c r="Q285" s="6">
        <v>20.39</v>
      </c>
    </row>
    <row r="286" spans="1:17" x14ac:dyDescent="0.3">
      <c r="A286" s="3">
        <v>285</v>
      </c>
      <c r="B286" s="3" t="s">
        <v>613</v>
      </c>
      <c r="C286" s="4">
        <v>45255</v>
      </c>
      <c r="D286" s="4">
        <v>45258</v>
      </c>
      <c r="E286" s="3" t="s">
        <v>62</v>
      </c>
      <c r="F286" s="3" t="s">
        <v>614</v>
      </c>
      <c r="G286" s="3" t="s">
        <v>30</v>
      </c>
      <c r="H286" s="3" t="s">
        <v>90</v>
      </c>
      <c r="I286" s="3" t="s">
        <v>110</v>
      </c>
      <c r="J286" s="3" t="s">
        <v>111</v>
      </c>
      <c r="K286" s="3" t="s">
        <v>25</v>
      </c>
      <c r="L286" s="3" t="s">
        <v>53</v>
      </c>
      <c r="M286" s="3" t="s">
        <v>139</v>
      </c>
      <c r="N286" s="3">
        <v>7</v>
      </c>
      <c r="O286" s="5">
        <v>0.1</v>
      </c>
      <c r="P286" s="6">
        <v>792.91</v>
      </c>
      <c r="Q286" s="6">
        <v>47.43</v>
      </c>
    </row>
    <row r="287" spans="1:17" x14ac:dyDescent="0.3">
      <c r="A287" s="3">
        <v>286</v>
      </c>
      <c r="B287" s="3" t="s">
        <v>615</v>
      </c>
      <c r="C287" s="4">
        <v>44630</v>
      </c>
      <c r="D287" s="4">
        <v>44632</v>
      </c>
      <c r="E287" s="3" t="s">
        <v>56</v>
      </c>
      <c r="F287" s="3" t="s">
        <v>616</v>
      </c>
      <c r="G287" s="3" t="s">
        <v>30</v>
      </c>
      <c r="H287" s="3" t="s">
        <v>40</v>
      </c>
      <c r="I287" s="3" t="s">
        <v>185</v>
      </c>
      <c r="J287" s="3" t="s">
        <v>186</v>
      </c>
      <c r="K287" s="3" t="s">
        <v>33</v>
      </c>
      <c r="L287" s="3" t="s">
        <v>49</v>
      </c>
      <c r="M287" s="3" t="s">
        <v>286</v>
      </c>
      <c r="N287" s="3">
        <v>3</v>
      </c>
      <c r="O287" s="5">
        <v>0</v>
      </c>
      <c r="P287" s="6">
        <v>393.65</v>
      </c>
      <c r="Q287" s="6">
        <v>57.73</v>
      </c>
    </row>
    <row r="288" spans="1:17" x14ac:dyDescent="0.3">
      <c r="A288" s="3">
        <v>287</v>
      </c>
      <c r="B288" s="3" t="s">
        <v>617</v>
      </c>
      <c r="C288" s="4">
        <v>44242</v>
      </c>
      <c r="D288" s="4">
        <v>44244</v>
      </c>
      <c r="E288" s="3" t="s">
        <v>19</v>
      </c>
      <c r="F288" s="3" t="s">
        <v>618</v>
      </c>
      <c r="G288" s="3" t="s">
        <v>21</v>
      </c>
      <c r="H288" s="3" t="s">
        <v>90</v>
      </c>
      <c r="I288" s="3" t="s">
        <v>104</v>
      </c>
      <c r="J288" s="3" t="s">
        <v>105</v>
      </c>
      <c r="K288" s="3" t="s">
        <v>25</v>
      </c>
      <c r="L288" s="3" t="s">
        <v>53</v>
      </c>
      <c r="M288" s="3" t="s">
        <v>54</v>
      </c>
      <c r="N288" s="3">
        <v>1</v>
      </c>
      <c r="O288" s="5">
        <v>0</v>
      </c>
      <c r="P288" s="6">
        <v>17.09</v>
      </c>
      <c r="Q288" s="6">
        <v>-2.89</v>
      </c>
    </row>
    <row r="289" spans="1:17" x14ac:dyDescent="0.3">
      <c r="A289" s="3">
        <v>288</v>
      </c>
      <c r="B289" s="3" t="s">
        <v>619</v>
      </c>
      <c r="C289" s="4">
        <v>45351</v>
      </c>
      <c r="D289" s="4">
        <v>45357</v>
      </c>
      <c r="E289" s="3" t="s">
        <v>56</v>
      </c>
      <c r="F289" s="3" t="s">
        <v>620</v>
      </c>
      <c r="G289" s="3" t="s">
        <v>30</v>
      </c>
      <c r="H289" s="3" t="s">
        <v>46</v>
      </c>
      <c r="I289" s="3" t="s">
        <v>78</v>
      </c>
      <c r="J289" s="3" t="s">
        <v>79</v>
      </c>
      <c r="K289" s="3" t="s">
        <v>25</v>
      </c>
      <c r="L289" s="3" t="s">
        <v>74</v>
      </c>
      <c r="M289" s="3" t="s">
        <v>101</v>
      </c>
      <c r="N289" s="3">
        <v>1</v>
      </c>
      <c r="O289" s="5">
        <v>0.15</v>
      </c>
      <c r="P289" s="6">
        <v>100.91</v>
      </c>
      <c r="Q289" s="6">
        <v>32.119999999999997</v>
      </c>
    </row>
    <row r="290" spans="1:17" x14ac:dyDescent="0.3">
      <c r="A290" s="3">
        <v>289</v>
      </c>
      <c r="B290" s="3" t="s">
        <v>621</v>
      </c>
      <c r="C290" s="4">
        <v>44569</v>
      </c>
      <c r="D290" s="4">
        <v>44574</v>
      </c>
      <c r="E290" s="3" t="s">
        <v>62</v>
      </c>
      <c r="F290" s="3" t="s">
        <v>620</v>
      </c>
      <c r="G290" s="3" t="s">
        <v>39</v>
      </c>
      <c r="H290" s="3" t="s">
        <v>40</v>
      </c>
      <c r="I290" s="3" t="s">
        <v>114</v>
      </c>
      <c r="J290" s="3" t="s">
        <v>115</v>
      </c>
      <c r="K290" s="3" t="s">
        <v>58</v>
      </c>
      <c r="L290" s="3" t="s">
        <v>86</v>
      </c>
      <c r="M290" s="3" t="s">
        <v>133</v>
      </c>
      <c r="N290" s="3">
        <v>11</v>
      </c>
      <c r="O290" s="5">
        <v>0</v>
      </c>
      <c r="P290" s="6">
        <v>2970.86</v>
      </c>
      <c r="Q290" s="6">
        <v>548.16</v>
      </c>
    </row>
    <row r="291" spans="1:17" x14ac:dyDescent="0.3">
      <c r="A291" s="3">
        <v>290</v>
      </c>
      <c r="B291" s="3" t="s">
        <v>622</v>
      </c>
      <c r="C291" s="4">
        <v>44611</v>
      </c>
      <c r="D291" s="4">
        <v>44616</v>
      </c>
      <c r="E291" s="3" t="s">
        <v>62</v>
      </c>
      <c r="F291" s="3" t="s">
        <v>623</v>
      </c>
      <c r="G291" s="3" t="s">
        <v>39</v>
      </c>
      <c r="H291" s="3" t="s">
        <v>40</v>
      </c>
      <c r="I291" s="3" t="s">
        <v>185</v>
      </c>
      <c r="J291" s="3" t="s">
        <v>186</v>
      </c>
      <c r="K291" s="3" t="s">
        <v>25</v>
      </c>
      <c r="L291" s="3" t="s">
        <v>116</v>
      </c>
      <c r="M291" s="3" t="s">
        <v>202</v>
      </c>
      <c r="N291" s="3">
        <v>14</v>
      </c>
      <c r="O291" s="5">
        <v>0.3</v>
      </c>
      <c r="P291" s="6">
        <v>1392.51</v>
      </c>
      <c r="Q291" s="6">
        <v>342.43</v>
      </c>
    </row>
    <row r="292" spans="1:17" x14ac:dyDescent="0.3">
      <c r="A292" s="3">
        <v>291</v>
      </c>
      <c r="B292" s="3" t="s">
        <v>624</v>
      </c>
      <c r="C292" s="4">
        <v>45301</v>
      </c>
      <c r="D292" s="4">
        <v>45308</v>
      </c>
      <c r="E292" s="3" t="s">
        <v>19</v>
      </c>
      <c r="F292" s="3" t="s">
        <v>113</v>
      </c>
      <c r="G292" s="3" t="s">
        <v>30</v>
      </c>
      <c r="H292" s="3" t="s">
        <v>22</v>
      </c>
      <c r="I292" s="3" t="s">
        <v>23</v>
      </c>
      <c r="J292" s="3" t="s">
        <v>24</v>
      </c>
      <c r="K292" s="3" t="s">
        <v>25</v>
      </c>
      <c r="L292" s="3" t="s">
        <v>26</v>
      </c>
      <c r="M292" s="3" t="s">
        <v>155</v>
      </c>
      <c r="N292" s="3">
        <v>1</v>
      </c>
      <c r="O292" s="5">
        <v>0.3</v>
      </c>
      <c r="P292" s="6">
        <v>98.14</v>
      </c>
      <c r="Q292" s="6">
        <v>6.21</v>
      </c>
    </row>
    <row r="293" spans="1:17" x14ac:dyDescent="0.3">
      <c r="A293" s="3">
        <v>292</v>
      </c>
      <c r="B293" s="3" t="s">
        <v>625</v>
      </c>
      <c r="C293" s="4">
        <v>45376</v>
      </c>
      <c r="D293" s="4">
        <v>45377</v>
      </c>
      <c r="E293" s="3" t="s">
        <v>56</v>
      </c>
      <c r="F293" s="3" t="s">
        <v>626</v>
      </c>
      <c r="G293" s="3" t="s">
        <v>39</v>
      </c>
      <c r="H293" s="3" t="s">
        <v>90</v>
      </c>
      <c r="I293" s="3" t="s">
        <v>110</v>
      </c>
      <c r="J293" s="3" t="s">
        <v>111</v>
      </c>
      <c r="K293" s="3" t="s">
        <v>25</v>
      </c>
      <c r="L293" s="3" t="s">
        <v>53</v>
      </c>
      <c r="M293" s="3" t="s">
        <v>171</v>
      </c>
      <c r="N293" s="3">
        <v>7</v>
      </c>
      <c r="O293" s="5">
        <v>0.4</v>
      </c>
      <c r="P293" s="6">
        <v>109.64</v>
      </c>
      <c r="Q293" s="6">
        <v>22.97</v>
      </c>
    </row>
    <row r="294" spans="1:17" x14ac:dyDescent="0.3">
      <c r="A294" s="3">
        <v>293</v>
      </c>
      <c r="B294" s="3" t="s">
        <v>627</v>
      </c>
      <c r="C294" s="4">
        <v>45261</v>
      </c>
      <c r="D294" s="4">
        <v>45262</v>
      </c>
      <c r="E294" s="3" t="s">
        <v>37</v>
      </c>
      <c r="F294" s="3" t="s">
        <v>573</v>
      </c>
      <c r="G294" s="3" t="s">
        <v>39</v>
      </c>
      <c r="H294" s="3" t="s">
        <v>46</v>
      </c>
      <c r="I294" s="3" t="s">
        <v>78</v>
      </c>
      <c r="J294" s="3" t="s">
        <v>79</v>
      </c>
      <c r="K294" s="3" t="s">
        <v>33</v>
      </c>
      <c r="L294" s="3" t="s">
        <v>49</v>
      </c>
      <c r="M294" s="3" t="s">
        <v>50</v>
      </c>
      <c r="N294" s="3">
        <v>7</v>
      </c>
      <c r="O294" s="5">
        <v>0.2</v>
      </c>
      <c r="P294" s="6">
        <v>3071.67</v>
      </c>
      <c r="Q294" s="6">
        <v>-14.42</v>
      </c>
    </row>
    <row r="295" spans="1:17" x14ac:dyDescent="0.3">
      <c r="A295" s="3">
        <v>294</v>
      </c>
      <c r="B295" s="3" t="s">
        <v>628</v>
      </c>
      <c r="C295" s="4">
        <v>44761</v>
      </c>
      <c r="D295" s="4">
        <v>44767</v>
      </c>
      <c r="E295" s="3" t="s">
        <v>56</v>
      </c>
      <c r="F295" s="3" t="s">
        <v>629</v>
      </c>
      <c r="G295" s="3" t="s">
        <v>39</v>
      </c>
      <c r="H295" s="3" t="s">
        <v>46</v>
      </c>
      <c r="I295" s="3" t="s">
        <v>47</v>
      </c>
      <c r="J295" s="3" t="s">
        <v>48</v>
      </c>
      <c r="K295" s="3" t="s">
        <v>25</v>
      </c>
      <c r="L295" s="3" t="s">
        <v>106</v>
      </c>
      <c r="M295" s="3" t="s">
        <v>136</v>
      </c>
      <c r="N295" s="3">
        <v>7</v>
      </c>
      <c r="O295" s="5">
        <v>0.3</v>
      </c>
      <c r="P295" s="6">
        <v>580.22</v>
      </c>
      <c r="Q295" s="6">
        <v>47.15</v>
      </c>
    </row>
    <row r="296" spans="1:17" x14ac:dyDescent="0.3">
      <c r="A296" s="3">
        <v>295</v>
      </c>
      <c r="B296" s="3" t="s">
        <v>630</v>
      </c>
      <c r="C296" s="4">
        <v>44479</v>
      </c>
      <c r="D296" s="4">
        <v>44486</v>
      </c>
      <c r="E296" s="3" t="s">
        <v>56</v>
      </c>
      <c r="F296" s="3" t="s">
        <v>631</v>
      </c>
      <c r="G296" s="3" t="s">
        <v>39</v>
      </c>
      <c r="H296" s="3" t="s">
        <v>46</v>
      </c>
      <c r="I296" s="3" t="s">
        <v>281</v>
      </c>
      <c r="J296" s="3" t="s">
        <v>282</v>
      </c>
      <c r="K296" s="3" t="s">
        <v>25</v>
      </c>
      <c r="L296" s="3" t="s">
        <v>53</v>
      </c>
      <c r="M296" s="3" t="s">
        <v>54</v>
      </c>
      <c r="N296" s="3">
        <v>14</v>
      </c>
      <c r="O296" s="5">
        <v>0.1</v>
      </c>
      <c r="P296" s="6">
        <v>1083.6199999999999</v>
      </c>
      <c r="Q296" s="6">
        <v>19.46</v>
      </c>
    </row>
    <row r="297" spans="1:17" x14ac:dyDescent="0.3">
      <c r="A297" s="3">
        <v>296</v>
      </c>
      <c r="B297" s="3" t="s">
        <v>632</v>
      </c>
      <c r="C297" s="4">
        <v>44303</v>
      </c>
      <c r="D297" s="4">
        <v>44305</v>
      </c>
      <c r="E297" s="3" t="s">
        <v>62</v>
      </c>
      <c r="F297" s="3" t="s">
        <v>633</v>
      </c>
      <c r="G297" s="3" t="s">
        <v>30</v>
      </c>
      <c r="H297" s="3" t="s">
        <v>46</v>
      </c>
      <c r="I297" s="3" t="s">
        <v>47</v>
      </c>
      <c r="J297" s="3" t="s">
        <v>48</v>
      </c>
      <c r="K297" s="3" t="s">
        <v>25</v>
      </c>
      <c r="L297" s="3" t="s">
        <v>53</v>
      </c>
      <c r="M297" s="3" t="s">
        <v>171</v>
      </c>
      <c r="N297" s="3">
        <v>7</v>
      </c>
      <c r="O297" s="5">
        <v>0</v>
      </c>
      <c r="P297" s="6">
        <v>810.74</v>
      </c>
      <c r="Q297" s="6">
        <v>188.6</v>
      </c>
    </row>
    <row r="298" spans="1:17" x14ac:dyDescent="0.3">
      <c r="A298" s="3">
        <v>297</v>
      </c>
      <c r="B298" s="3" t="s">
        <v>634</v>
      </c>
      <c r="C298" s="4">
        <v>44274</v>
      </c>
      <c r="D298" s="4">
        <v>44280</v>
      </c>
      <c r="E298" s="3" t="s">
        <v>56</v>
      </c>
      <c r="F298" s="3" t="s">
        <v>488</v>
      </c>
      <c r="G298" s="3" t="s">
        <v>21</v>
      </c>
      <c r="H298" s="3" t="s">
        <v>22</v>
      </c>
      <c r="I298" s="3" t="s">
        <v>72</v>
      </c>
      <c r="J298" s="3" t="s">
        <v>73</v>
      </c>
      <c r="K298" s="3" t="s">
        <v>25</v>
      </c>
      <c r="L298" s="3" t="s">
        <v>116</v>
      </c>
      <c r="M298" s="3" t="s">
        <v>117</v>
      </c>
      <c r="N298" s="3">
        <v>7</v>
      </c>
      <c r="O298" s="5">
        <v>0.3</v>
      </c>
      <c r="P298" s="6">
        <v>712.3</v>
      </c>
      <c r="Q298" s="6">
        <v>84.32</v>
      </c>
    </row>
    <row r="299" spans="1:17" x14ac:dyDescent="0.3">
      <c r="A299" s="3">
        <v>298</v>
      </c>
      <c r="B299" s="3" t="s">
        <v>635</v>
      </c>
      <c r="C299" s="4">
        <v>44265</v>
      </c>
      <c r="D299" s="4">
        <v>44272</v>
      </c>
      <c r="E299" s="3" t="s">
        <v>62</v>
      </c>
      <c r="F299" s="3" t="s">
        <v>539</v>
      </c>
      <c r="G299" s="3" t="s">
        <v>39</v>
      </c>
      <c r="H299" s="3" t="s">
        <v>90</v>
      </c>
      <c r="I299" s="3" t="s">
        <v>169</v>
      </c>
      <c r="J299" s="3" t="s">
        <v>170</v>
      </c>
      <c r="K299" s="3" t="s">
        <v>33</v>
      </c>
      <c r="L299" s="3" t="s">
        <v>64</v>
      </c>
      <c r="M299" s="3" t="s">
        <v>126</v>
      </c>
      <c r="N299" s="3">
        <v>10</v>
      </c>
      <c r="O299" s="5">
        <v>0.1</v>
      </c>
      <c r="P299" s="6">
        <v>3585.31</v>
      </c>
      <c r="Q299" s="6">
        <v>427.06</v>
      </c>
    </row>
    <row r="300" spans="1:17" x14ac:dyDescent="0.3">
      <c r="A300" s="3">
        <v>299</v>
      </c>
      <c r="B300" s="3" t="s">
        <v>636</v>
      </c>
      <c r="C300" s="4">
        <v>45568</v>
      </c>
      <c r="D300" s="4">
        <v>45572</v>
      </c>
      <c r="E300" s="3" t="s">
        <v>37</v>
      </c>
      <c r="F300" s="3" t="s">
        <v>261</v>
      </c>
      <c r="G300" s="3" t="s">
        <v>30</v>
      </c>
      <c r="H300" s="3" t="s">
        <v>40</v>
      </c>
      <c r="I300" s="3" t="s">
        <v>158</v>
      </c>
      <c r="J300" s="3" t="s">
        <v>159</v>
      </c>
      <c r="K300" s="3" t="s">
        <v>58</v>
      </c>
      <c r="L300" s="3" t="s">
        <v>217</v>
      </c>
      <c r="M300" s="3" t="s">
        <v>218</v>
      </c>
      <c r="N300" s="3">
        <v>7</v>
      </c>
      <c r="O300" s="5">
        <v>0</v>
      </c>
      <c r="P300" s="6">
        <v>2138.1999999999998</v>
      </c>
      <c r="Q300" s="6">
        <v>410.87</v>
      </c>
    </row>
    <row r="301" spans="1:17" x14ac:dyDescent="0.3">
      <c r="A301" s="3">
        <v>300</v>
      </c>
      <c r="B301" s="3" t="s">
        <v>637</v>
      </c>
      <c r="C301" s="4">
        <v>45103</v>
      </c>
      <c r="D301" s="4">
        <v>45107</v>
      </c>
      <c r="E301" s="3" t="s">
        <v>56</v>
      </c>
      <c r="F301" s="3" t="s">
        <v>438</v>
      </c>
      <c r="G301" s="3" t="s">
        <v>21</v>
      </c>
      <c r="H301" s="3" t="s">
        <v>46</v>
      </c>
      <c r="I301" s="3" t="s">
        <v>47</v>
      </c>
      <c r="J301" s="3" t="s">
        <v>48</v>
      </c>
      <c r="K301" s="3" t="s">
        <v>58</v>
      </c>
      <c r="L301" s="3" t="s">
        <v>199</v>
      </c>
      <c r="M301" s="3" t="s">
        <v>205</v>
      </c>
      <c r="N301" s="3">
        <v>10</v>
      </c>
      <c r="O301" s="5">
        <v>0.1</v>
      </c>
      <c r="P301" s="6">
        <v>2495.87</v>
      </c>
      <c r="Q301" s="6">
        <v>510.37</v>
      </c>
    </row>
    <row r="302" spans="1:17" x14ac:dyDescent="0.3">
      <c r="A302" s="3">
        <v>301</v>
      </c>
      <c r="B302" s="3" t="s">
        <v>638</v>
      </c>
      <c r="C302" s="4">
        <v>44843</v>
      </c>
      <c r="D302" s="4">
        <v>44847</v>
      </c>
      <c r="E302" s="3" t="s">
        <v>56</v>
      </c>
      <c r="F302" s="3" t="s">
        <v>317</v>
      </c>
      <c r="G302" s="3" t="s">
        <v>21</v>
      </c>
      <c r="H302" s="3" t="s">
        <v>22</v>
      </c>
      <c r="I302" s="3" t="s">
        <v>72</v>
      </c>
      <c r="J302" s="3" t="s">
        <v>73</v>
      </c>
      <c r="K302" s="3" t="s">
        <v>33</v>
      </c>
      <c r="L302" s="3" t="s">
        <v>95</v>
      </c>
      <c r="M302" s="3" t="s">
        <v>370</v>
      </c>
      <c r="N302" s="3">
        <v>6</v>
      </c>
      <c r="O302" s="5">
        <v>0</v>
      </c>
      <c r="P302" s="6">
        <v>2241.84</v>
      </c>
      <c r="Q302" s="6">
        <v>382.21</v>
      </c>
    </row>
    <row r="303" spans="1:17" x14ac:dyDescent="0.3">
      <c r="A303" s="3">
        <v>302</v>
      </c>
      <c r="B303" s="3" t="s">
        <v>639</v>
      </c>
      <c r="C303" s="4">
        <v>44839</v>
      </c>
      <c r="D303" s="4">
        <v>44842</v>
      </c>
      <c r="E303" s="3" t="s">
        <v>19</v>
      </c>
      <c r="F303" s="3" t="s">
        <v>640</v>
      </c>
      <c r="G303" s="3" t="s">
        <v>21</v>
      </c>
      <c r="H303" s="3" t="s">
        <v>46</v>
      </c>
      <c r="I303" s="3" t="s">
        <v>257</v>
      </c>
      <c r="J303" s="3" t="s">
        <v>258</v>
      </c>
      <c r="K303" s="3" t="s">
        <v>25</v>
      </c>
      <c r="L303" s="3" t="s">
        <v>26</v>
      </c>
      <c r="M303" s="3" t="s">
        <v>259</v>
      </c>
      <c r="N303" s="3">
        <v>4</v>
      </c>
      <c r="O303" s="5">
        <v>0.15</v>
      </c>
      <c r="P303" s="6">
        <v>410.76</v>
      </c>
      <c r="Q303" s="6">
        <v>-57.64</v>
      </c>
    </row>
    <row r="304" spans="1:17" x14ac:dyDescent="0.3">
      <c r="A304" s="3">
        <v>303</v>
      </c>
      <c r="B304" s="3" t="s">
        <v>641</v>
      </c>
      <c r="C304" s="4">
        <v>44926</v>
      </c>
      <c r="D304" s="4">
        <v>44928</v>
      </c>
      <c r="E304" s="3" t="s">
        <v>62</v>
      </c>
      <c r="F304" s="3" t="s">
        <v>642</v>
      </c>
      <c r="G304" s="3" t="s">
        <v>39</v>
      </c>
      <c r="H304" s="3" t="s">
        <v>46</v>
      </c>
      <c r="I304" s="3" t="s">
        <v>78</v>
      </c>
      <c r="J304" s="3" t="s">
        <v>79</v>
      </c>
      <c r="K304" s="3" t="s">
        <v>25</v>
      </c>
      <c r="L304" s="3" t="s">
        <v>26</v>
      </c>
      <c r="M304" s="3" t="s">
        <v>155</v>
      </c>
      <c r="N304" s="3">
        <v>13</v>
      </c>
      <c r="O304" s="5">
        <v>0</v>
      </c>
      <c r="P304" s="6">
        <v>189.66</v>
      </c>
      <c r="Q304" s="6">
        <v>29.49</v>
      </c>
    </row>
    <row r="305" spans="1:17" x14ac:dyDescent="0.3">
      <c r="A305" s="3">
        <v>304</v>
      </c>
      <c r="B305" s="3" t="s">
        <v>643</v>
      </c>
      <c r="C305" s="4">
        <v>44759</v>
      </c>
      <c r="D305" s="4">
        <v>44763</v>
      </c>
      <c r="E305" s="3" t="s">
        <v>56</v>
      </c>
      <c r="F305" s="3" t="s">
        <v>113</v>
      </c>
      <c r="G305" s="3" t="s">
        <v>30</v>
      </c>
      <c r="H305" s="3" t="s">
        <v>90</v>
      </c>
      <c r="I305" s="3" t="s">
        <v>99</v>
      </c>
      <c r="J305" s="3" t="s">
        <v>100</v>
      </c>
      <c r="K305" s="3" t="s">
        <v>25</v>
      </c>
      <c r="L305" s="3" t="s">
        <v>74</v>
      </c>
      <c r="M305" s="3" t="s">
        <v>101</v>
      </c>
      <c r="N305" s="3">
        <v>3</v>
      </c>
      <c r="O305" s="5">
        <v>0.15</v>
      </c>
      <c r="P305" s="6">
        <v>338.52</v>
      </c>
      <c r="Q305" s="6">
        <v>-3.82</v>
      </c>
    </row>
    <row r="306" spans="1:17" x14ac:dyDescent="0.3">
      <c r="A306" s="3">
        <v>305</v>
      </c>
      <c r="B306" s="3" t="s">
        <v>644</v>
      </c>
      <c r="C306" s="4">
        <v>45133</v>
      </c>
      <c r="D306" s="4">
        <v>45134</v>
      </c>
      <c r="E306" s="3" t="s">
        <v>62</v>
      </c>
      <c r="F306" s="3" t="s">
        <v>645</v>
      </c>
      <c r="G306" s="3" t="s">
        <v>39</v>
      </c>
      <c r="H306" s="3" t="s">
        <v>22</v>
      </c>
      <c r="I306" s="3" t="s">
        <v>31</v>
      </c>
      <c r="J306" s="3" t="s">
        <v>32</v>
      </c>
      <c r="K306" s="3" t="s">
        <v>25</v>
      </c>
      <c r="L306" s="3" t="s">
        <v>53</v>
      </c>
      <c r="M306" s="3" t="s">
        <v>139</v>
      </c>
      <c r="N306" s="3">
        <v>12</v>
      </c>
      <c r="O306" s="5">
        <v>0.2</v>
      </c>
      <c r="P306" s="6">
        <v>712.31</v>
      </c>
      <c r="Q306" s="6">
        <v>116.48</v>
      </c>
    </row>
    <row r="307" spans="1:17" x14ac:dyDescent="0.3">
      <c r="A307" s="3">
        <v>306</v>
      </c>
      <c r="B307" s="3" t="s">
        <v>646</v>
      </c>
      <c r="C307" s="4">
        <v>45320</v>
      </c>
      <c r="D307" s="4">
        <v>45323</v>
      </c>
      <c r="E307" s="3" t="s">
        <v>37</v>
      </c>
      <c r="F307" s="3" t="s">
        <v>94</v>
      </c>
      <c r="G307" s="3" t="s">
        <v>30</v>
      </c>
      <c r="H307" s="3" t="s">
        <v>46</v>
      </c>
      <c r="I307" s="3" t="s">
        <v>281</v>
      </c>
      <c r="J307" s="3" t="s">
        <v>282</v>
      </c>
      <c r="K307" s="3" t="s">
        <v>25</v>
      </c>
      <c r="L307" s="3" t="s">
        <v>106</v>
      </c>
      <c r="M307" s="3" t="s">
        <v>123</v>
      </c>
      <c r="N307" s="3">
        <v>4</v>
      </c>
      <c r="O307" s="5">
        <v>0.2</v>
      </c>
      <c r="P307" s="6">
        <v>127.05</v>
      </c>
      <c r="Q307" s="6">
        <v>-3.87</v>
      </c>
    </row>
    <row r="308" spans="1:17" x14ac:dyDescent="0.3">
      <c r="A308" s="3">
        <v>307</v>
      </c>
      <c r="B308" s="3" t="s">
        <v>647</v>
      </c>
      <c r="C308" s="4">
        <v>44465</v>
      </c>
      <c r="D308" s="4">
        <v>44470</v>
      </c>
      <c r="E308" s="3" t="s">
        <v>19</v>
      </c>
      <c r="F308" s="3" t="s">
        <v>130</v>
      </c>
      <c r="G308" s="3" t="s">
        <v>30</v>
      </c>
      <c r="H308" s="3" t="s">
        <v>46</v>
      </c>
      <c r="I308" s="3" t="s">
        <v>146</v>
      </c>
      <c r="J308" s="3" t="s">
        <v>147</v>
      </c>
      <c r="K308" s="3" t="s">
        <v>25</v>
      </c>
      <c r="L308" s="3" t="s">
        <v>26</v>
      </c>
      <c r="M308" s="3" t="s">
        <v>155</v>
      </c>
      <c r="N308" s="3">
        <v>11</v>
      </c>
      <c r="O308" s="5">
        <v>0</v>
      </c>
      <c r="P308" s="6">
        <v>318.68</v>
      </c>
      <c r="Q308" s="6">
        <v>58.16</v>
      </c>
    </row>
    <row r="309" spans="1:17" x14ac:dyDescent="0.3">
      <c r="A309" s="3">
        <v>308</v>
      </c>
      <c r="B309" s="3" t="s">
        <v>648</v>
      </c>
      <c r="C309" s="4">
        <v>45060</v>
      </c>
      <c r="D309" s="4">
        <v>45064</v>
      </c>
      <c r="E309" s="3" t="s">
        <v>62</v>
      </c>
      <c r="F309" s="3" t="s">
        <v>403</v>
      </c>
      <c r="G309" s="3" t="s">
        <v>39</v>
      </c>
      <c r="H309" s="3" t="s">
        <v>40</v>
      </c>
      <c r="I309" s="3" t="s">
        <v>114</v>
      </c>
      <c r="J309" s="3" t="s">
        <v>115</v>
      </c>
      <c r="K309" s="3" t="s">
        <v>25</v>
      </c>
      <c r="L309" s="3" t="s">
        <v>116</v>
      </c>
      <c r="M309" s="3" t="s">
        <v>202</v>
      </c>
      <c r="N309" s="3">
        <v>3</v>
      </c>
      <c r="O309" s="5">
        <v>0.2</v>
      </c>
      <c r="P309" s="6">
        <v>336.92</v>
      </c>
      <c r="Q309" s="6">
        <v>74.53</v>
      </c>
    </row>
    <row r="310" spans="1:17" x14ac:dyDescent="0.3">
      <c r="A310" s="3">
        <v>309</v>
      </c>
      <c r="B310" s="3" t="s">
        <v>649</v>
      </c>
      <c r="C310" s="4">
        <v>44717</v>
      </c>
      <c r="D310" s="4">
        <v>44721</v>
      </c>
      <c r="E310" s="3" t="s">
        <v>37</v>
      </c>
      <c r="F310" s="3" t="s">
        <v>650</v>
      </c>
      <c r="G310" s="3" t="s">
        <v>39</v>
      </c>
      <c r="H310" s="3" t="s">
        <v>90</v>
      </c>
      <c r="I310" s="3" t="s">
        <v>169</v>
      </c>
      <c r="J310" s="3" t="s">
        <v>170</v>
      </c>
      <c r="K310" s="3" t="s">
        <v>25</v>
      </c>
      <c r="L310" s="3" t="s">
        <v>116</v>
      </c>
      <c r="M310" s="3" t="s">
        <v>202</v>
      </c>
      <c r="N310" s="3">
        <v>14</v>
      </c>
      <c r="O310" s="5">
        <v>0.4</v>
      </c>
      <c r="P310" s="6">
        <v>940.31</v>
      </c>
      <c r="Q310" s="6">
        <v>185.01</v>
      </c>
    </row>
    <row r="311" spans="1:17" x14ac:dyDescent="0.3">
      <c r="A311" s="3">
        <v>310</v>
      </c>
      <c r="B311" s="3" t="s">
        <v>651</v>
      </c>
      <c r="C311" s="4">
        <v>45437</v>
      </c>
      <c r="D311" s="4">
        <v>45439</v>
      </c>
      <c r="E311" s="3" t="s">
        <v>56</v>
      </c>
      <c r="F311" s="3" t="s">
        <v>470</v>
      </c>
      <c r="G311" s="3" t="s">
        <v>39</v>
      </c>
      <c r="H311" s="3" t="s">
        <v>46</v>
      </c>
      <c r="I311" s="3" t="s">
        <v>257</v>
      </c>
      <c r="J311" s="3" t="s">
        <v>258</v>
      </c>
      <c r="K311" s="3" t="s">
        <v>25</v>
      </c>
      <c r="L311" s="3" t="s">
        <v>106</v>
      </c>
      <c r="M311" s="3" t="s">
        <v>136</v>
      </c>
      <c r="N311" s="3">
        <v>10</v>
      </c>
      <c r="O311" s="5">
        <v>0</v>
      </c>
      <c r="P311" s="6">
        <v>699.56</v>
      </c>
      <c r="Q311" s="6">
        <v>236.19</v>
      </c>
    </row>
    <row r="312" spans="1:17" x14ac:dyDescent="0.3">
      <c r="A312" s="3">
        <v>311</v>
      </c>
      <c r="B312" s="3" t="s">
        <v>652</v>
      </c>
      <c r="C312" s="4">
        <v>45490</v>
      </c>
      <c r="D312" s="4">
        <v>45492</v>
      </c>
      <c r="E312" s="3" t="s">
        <v>37</v>
      </c>
      <c r="F312" s="3" t="s">
        <v>653</v>
      </c>
      <c r="G312" s="3" t="s">
        <v>21</v>
      </c>
      <c r="H312" s="3" t="s">
        <v>90</v>
      </c>
      <c r="I312" s="3" t="s">
        <v>169</v>
      </c>
      <c r="J312" s="3" t="s">
        <v>170</v>
      </c>
      <c r="K312" s="3" t="s">
        <v>25</v>
      </c>
      <c r="L312" s="3" t="s">
        <v>106</v>
      </c>
      <c r="M312" s="3" t="s">
        <v>107</v>
      </c>
      <c r="N312" s="3">
        <v>14</v>
      </c>
      <c r="O312" s="5">
        <v>0.2</v>
      </c>
      <c r="P312" s="6">
        <v>286.54000000000002</v>
      </c>
      <c r="Q312" s="6">
        <v>0.89</v>
      </c>
    </row>
    <row r="313" spans="1:17" x14ac:dyDescent="0.3">
      <c r="A313" s="3">
        <v>312</v>
      </c>
      <c r="B313" s="3" t="s">
        <v>654</v>
      </c>
      <c r="C313" s="4">
        <v>44744</v>
      </c>
      <c r="D313" s="4">
        <v>44749</v>
      </c>
      <c r="E313" s="3" t="s">
        <v>56</v>
      </c>
      <c r="F313" s="3" t="s">
        <v>655</v>
      </c>
      <c r="G313" s="3" t="s">
        <v>30</v>
      </c>
      <c r="H313" s="3" t="s">
        <v>40</v>
      </c>
      <c r="I313" s="3" t="s">
        <v>41</v>
      </c>
      <c r="J313" s="3" t="s">
        <v>42</v>
      </c>
      <c r="K313" s="3" t="s">
        <v>25</v>
      </c>
      <c r="L313" s="3" t="s">
        <v>106</v>
      </c>
      <c r="M313" s="3" t="s">
        <v>136</v>
      </c>
      <c r="N313" s="3">
        <v>11</v>
      </c>
      <c r="O313" s="5">
        <v>0.4</v>
      </c>
      <c r="P313" s="6">
        <v>471.06</v>
      </c>
      <c r="Q313" s="6">
        <v>102.97</v>
      </c>
    </row>
    <row r="314" spans="1:17" x14ac:dyDescent="0.3">
      <c r="A314" s="3">
        <v>313</v>
      </c>
      <c r="B314" s="3" t="s">
        <v>656</v>
      </c>
      <c r="C314" s="4">
        <v>44677</v>
      </c>
      <c r="D314" s="4">
        <v>44683</v>
      </c>
      <c r="E314" s="3" t="s">
        <v>56</v>
      </c>
      <c r="F314" s="3" t="s">
        <v>408</v>
      </c>
      <c r="G314" s="3" t="s">
        <v>21</v>
      </c>
      <c r="H314" s="3" t="s">
        <v>40</v>
      </c>
      <c r="I314" s="3" t="s">
        <v>114</v>
      </c>
      <c r="J314" s="3" t="s">
        <v>115</v>
      </c>
      <c r="K314" s="3" t="s">
        <v>58</v>
      </c>
      <c r="L314" s="3" t="s">
        <v>86</v>
      </c>
      <c r="M314" s="3" t="s">
        <v>133</v>
      </c>
      <c r="N314" s="3">
        <v>5</v>
      </c>
      <c r="O314" s="5">
        <v>0</v>
      </c>
      <c r="P314" s="6">
        <v>2360.0300000000002</v>
      </c>
      <c r="Q314" s="6">
        <v>-291.83</v>
      </c>
    </row>
    <row r="315" spans="1:17" x14ac:dyDescent="0.3">
      <c r="A315" s="3">
        <v>314</v>
      </c>
      <c r="B315" s="3" t="s">
        <v>657</v>
      </c>
      <c r="C315" s="4">
        <v>44734</v>
      </c>
      <c r="D315" s="4">
        <v>44739</v>
      </c>
      <c r="E315" s="3" t="s">
        <v>19</v>
      </c>
      <c r="F315" s="3" t="s">
        <v>345</v>
      </c>
      <c r="G315" s="3" t="s">
        <v>39</v>
      </c>
      <c r="H315" s="3" t="s">
        <v>22</v>
      </c>
      <c r="I315" s="3" t="s">
        <v>23</v>
      </c>
      <c r="J315" s="3" t="s">
        <v>24</v>
      </c>
      <c r="K315" s="3" t="s">
        <v>58</v>
      </c>
      <c r="L315" s="3" t="s">
        <v>59</v>
      </c>
      <c r="M315" s="3" t="s">
        <v>60</v>
      </c>
      <c r="N315" s="3">
        <v>3</v>
      </c>
      <c r="O315" s="5">
        <v>0.3</v>
      </c>
      <c r="P315" s="6">
        <v>190.08</v>
      </c>
      <c r="Q315" s="6">
        <v>-12.24</v>
      </c>
    </row>
    <row r="316" spans="1:17" x14ac:dyDescent="0.3">
      <c r="A316" s="3">
        <v>315</v>
      </c>
      <c r="B316" s="3" t="s">
        <v>658</v>
      </c>
      <c r="C316" s="4">
        <v>45555</v>
      </c>
      <c r="D316" s="4">
        <v>45558</v>
      </c>
      <c r="E316" s="3" t="s">
        <v>19</v>
      </c>
      <c r="F316" s="3" t="s">
        <v>157</v>
      </c>
      <c r="G316" s="3" t="s">
        <v>21</v>
      </c>
      <c r="H316" s="3" t="s">
        <v>40</v>
      </c>
      <c r="I316" s="3" t="s">
        <v>223</v>
      </c>
      <c r="J316" s="3" t="s">
        <v>224</v>
      </c>
      <c r="K316" s="3" t="s">
        <v>58</v>
      </c>
      <c r="L316" s="3" t="s">
        <v>59</v>
      </c>
      <c r="M316" s="3" t="s">
        <v>60</v>
      </c>
      <c r="N316" s="3">
        <v>14</v>
      </c>
      <c r="O316" s="5">
        <v>0.4</v>
      </c>
      <c r="P316" s="6">
        <v>5669.39</v>
      </c>
      <c r="Q316" s="6">
        <v>171.87</v>
      </c>
    </row>
    <row r="317" spans="1:17" x14ac:dyDescent="0.3">
      <c r="A317" s="3">
        <v>316</v>
      </c>
      <c r="B317" s="3" t="s">
        <v>659</v>
      </c>
      <c r="C317" s="4">
        <v>45290</v>
      </c>
      <c r="D317" s="4">
        <v>45293</v>
      </c>
      <c r="E317" s="3" t="s">
        <v>37</v>
      </c>
      <c r="F317" s="3" t="s">
        <v>132</v>
      </c>
      <c r="G317" s="3" t="s">
        <v>30</v>
      </c>
      <c r="H317" s="3" t="s">
        <v>90</v>
      </c>
      <c r="I317" s="3" t="s">
        <v>91</v>
      </c>
      <c r="J317" s="3" t="s">
        <v>92</v>
      </c>
      <c r="K317" s="3" t="s">
        <v>25</v>
      </c>
      <c r="L317" s="3" t="s">
        <v>53</v>
      </c>
      <c r="M317" s="3" t="s">
        <v>171</v>
      </c>
      <c r="N317" s="3">
        <v>6</v>
      </c>
      <c r="O317" s="5">
        <v>0.1</v>
      </c>
      <c r="P317" s="6">
        <v>342.42</v>
      </c>
      <c r="Q317" s="6">
        <v>79.72</v>
      </c>
    </row>
    <row r="318" spans="1:17" x14ac:dyDescent="0.3">
      <c r="A318" s="3">
        <v>317</v>
      </c>
      <c r="B318" s="3" t="s">
        <v>660</v>
      </c>
      <c r="C318" s="4">
        <v>44784</v>
      </c>
      <c r="D318" s="4">
        <v>44788</v>
      </c>
      <c r="E318" s="3" t="s">
        <v>37</v>
      </c>
      <c r="F318" s="3" t="s">
        <v>661</v>
      </c>
      <c r="G318" s="3" t="s">
        <v>30</v>
      </c>
      <c r="H318" s="3" t="s">
        <v>40</v>
      </c>
      <c r="I318" s="3" t="s">
        <v>41</v>
      </c>
      <c r="J318" s="3" t="s">
        <v>42</v>
      </c>
      <c r="K318" s="3" t="s">
        <v>33</v>
      </c>
      <c r="L318" s="3" t="s">
        <v>95</v>
      </c>
      <c r="M318" s="3" t="s">
        <v>96</v>
      </c>
      <c r="N318" s="3">
        <v>9</v>
      </c>
      <c r="O318" s="5">
        <v>0.4</v>
      </c>
      <c r="P318" s="6">
        <v>242.46</v>
      </c>
      <c r="Q318" s="6">
        <v>77.14</v>
      </c>
    </row>
    <row r="319" spans="1:17" x14ac:dyDescent="0.3">
      <c r="A319" s="3">
        <v>318</v>
      </c>
      <c r="B319" s="3" t="s">
        <v>662</v>
      </c>
      <c r="C319" s="4">
        <v>45345</v>
      </c>
      <c r="D319" s="4">
        <v>45349</v>
      </c>
      <c r="E319" s="3" t="s">
        <v>19</v>
      </c>
      <c r="F319" s="3" t="s">
        <v>663</v>
      </c>
      <c r="G319" s="3" t="s">
        <v>30</v>
      </c>
      <c r="H319" s="3" t="s">
        <v>40</v>
      </c>
      <c r="I319" s="3" t="s">
        <v>158</v>
      </c>
      <c r="J319" s="3" t="s">
        <v>159</v>
      </c>
      <c r="K319" s="3" t="s">
        <v>25</v>
      </c>
      <c r="L319" s="3" t="s">
        <v>26</v>
      </c>
      <c r="M319" s="3" t="s">
        <v>259</v>
      </c>
      <c r="N319" s="3">
        <v>7</v>
      </c>
      <c r="O319" s="5">
        <v>0.3</v>
      </c>
      <c r="P319" s="6">
        <v>200.58</v>
      </c>
      <c r="Q319" s="6">
        <v>49.55</v>
      </c>
    </row>
    <row r="320" spans="1:17" x14ac:dyDescent="0.3">
      <c r="A320" s="3">
        <v>319</v>
      </c>
      <c r="B320" s="3" t="s">
        <v>664</v>
      </c>
      <c r="C320" s="4">
        <v>45042</v>
      </c>
      <c r="D320" s="4">
        <v>45044</v>
      </c>
      <c r="E320" s="3" t="s">
        <v>56</v>
      </c>
      <c r="F320" s="3" t="s">
        <v>330</v>
      </c>
      <c r="G320" s="3" t="s">
        <v>30</v>
      </c>
      <c r="H320" s="3" t="s">
        <v>46</v>
      </c>
      <c r="I320" s="3" t="s">
        <v>281</v>
      </c>
      <c r="J320" s="3" t="s">
        <v>282</v>
      </c>
      <c r="K320" s="3" t="s">
        <v>25</v>
      </c>
      <c r="L320" s="3" t="s">
        <v>80</v>
      </c>
      <c r="M320" s="3" t="s">
        <v>150</v>
      </c>
      <c r="N320" s="3">
        <v>14</v>
      </c>
      <c r="O320" s="5">
        <v>0</v>
      </c>
      <c r="P320" s="6">
        <v>141.1</v>
      </c>
      <c r="Q320" s="6">
        <v>-10.76</v>
      </c>
    </row>
    <row r="321" spans="1:17" x14ac:dyDescent="0.3">
      <c r="A321" s="3">
        <v>320</v>
      </c>
      <c r="B321" s="3" t="s">
        <v>665</v>
      </c>
      <c r="C321" s="4">
        <v>44577</v>
      </c>
      <c r="D321" s="4">
        <v>44578</v>
      </c>
      <c r="E321" s="3" t="s">
        <v>56</v>
      </c>
      <c r="F321" s="3" t="s">
        <v>666</v>
      </c>
      <c r="G321" s="3" t="s">
        <v>21</v>
      </c>
      <c r="H321" s="3" t="s">
        <v>40</v>
      </c>
      <c r="I321" s="3" t="s">
        <v>41</v>
      </c>
      <c r="J321" s="3" t="s">
        <v>42</v>
      </c>
      <c r="K321" s="3" t="s">
        <v>33</v>
      </c>
      <c r="L321" s="3" t="s">
        <v>49</v>
      </c>
      <c r="M321" s="3" t="s">
        <v>50</v>
      </c>
      <c r="N321" s="3">
        <v>5</v>
      </c>
      <c r="O321" s="5">
        <v>0.4</v>
      </c>
      <c r="P321" s="6">
        <v>909.51</v>
      </c>
      <c r="Q321" s="6">
        <v>169.41</v>
      </c>
    </row>
    <row r="322" spans="1:17" x14ac:dyDescent="0.3">
      <c r="A322" s="3">
        <v>321</v>
      </c>
      <c r="B322" s="3" t="s">
        <v>667</v>
      </c>
      <c r="C322" s="4">
        <v>45146</v>
      </c>
      <c r="D322" s="4">
        <v>45152</v>
      </c>
      <c r="E322" s="3" t="s">
        <v>62</v>
      </c>
      <c r="F322" s="3" t="s">
        <v>668</v>
      </c>
      <c r="G322" s="3" t="s">
        <v>30</v>
      </c>
      <c r="H322" s="3" t="s">
        <v>40</v>
      </c>
      <c r="I322" s="3" t="s">
        <v>41</v>
      </c>
      <c r="J322" s="3" t="s">
        <v>42</v>
      </c>
      <c r="K322" s="3" t="s">
        <v>25</v>
      </c>
      <c r="L322" s="3" t="s">
        <v>74</v>
      </c>
      <c r="M322" s="3" t="s">
        <v>180</v>
      </c>
      <c r="N322" s="3">
        <v>13</v>
      </c>
      <c r="O322" s="5">
        <v>0</v>
      </c>
      <c r="P322" s="6">
        <v>74.680000000000007</v>
      </c>
      <c r="Q322" s="6">
        <v>19.13</v>
      </c>
    </row>
    <row r="323" spans="1:17" x14ac:dyDescent="0.3">
      <c r="A323" s="3">
        <v>322</v>
      </c>
      <c r="B323" s="3" t="s">
        <v>669</v>
      </c>
      <c r="C323" s="4">
        <v>44222</v>
      </c>
      <c r="D323" s="4">
        <v>44223</v>
      </c>
      <c r="E323" s="3" t="s">
        <v>56</v>
      </c>
      <c r="F323" s="3" t="s">
        <v>77</v>
      </c>
      <c r="G323" s="3" t="s">
        <v>21</v>
      </c>
      <c r="H323" s="3" t="s">
        <v>90</v>
      </c>
      <c r="I323" s="3" t="s">
        <v>104</v>
      </c>
      <c r="J323" s="3" t="s">
        <v>105</v>
      </c>
      <c r="K323" s="3" t="s">
        <v>33</v>
      </c>
      <c r="L323" s="3" t="s">
        <v>64</v>
      </c>
      <c r="M323" s="3" t="s">
        <v>269</v>
      </c>
      <c r="N323" s="3">
        <v>13</v>
      </c>
      <c r="O323" s="5">
        <v>0.3</v>
      </c>
      <c r="P323" s="6">
        <v>6002.67</v>
      </c>
      <c r="Q323" s="6">
        <v>1276.98</v>
      </c>
    </row>
    <row r="324" spans="1:17" x14ac:dyDescent="0.3">
      <c r="A324" s="3">
        <v>323</v>
      </c>
      <c r="B324" s="3" t="s">
        <v>670</v>
      </c>
      <c r="C324" s="4">
        <v>44993</v>
      </c>
      <c r="D324" s="4">
        <v>44999</v>
      </c>
      <c r="E324" s="3" t="s">
        <v>37</v>
      </c>
      <c r="F324" s="3" t="s">
        <v>445</v>
      </c>
      <c r="G324" s="3" t="s">
        <v>21</v>
      </c>
      <c r="H324" s="3" t="s">
        <v>22</v>
      </c>
      <c r="I324" s="3" t="s">
        <v>31</v>
      </c>
      <c r="J324" s="3" t="s">
        <v>32</v>
      </c>
      <c r="K324" s="3" t="s">
        <v>25</v>
      </c>
      <c r="L324" s="3" t="s">
        <v>26</v>
      </c>
      <c r="M324" s="3" t="s">
        <v>259</v>
      </c>
      <c r="N324" s="3">
        <v>5</v>
      </c>
      <c r="O324" s="5">
        <v>0</v>
      </c>
      <c r="P324" s="6">
        <v>562.37</v>
      </c>
      <c r="Q324" s="6">
        <v>71.7</v>
      </c>
    </row>
    <row r="325" spans="1:17" x14ac:dyDescent="0.3">
      <c r="A325" s="3">
        <v>324</v>
      </c>
      <c r="B325" s="3" t="s">
        <v>671</v>
      </c>
      <c r="C325" s="4">
        <v>44428</v>
      </c>
      <c r="D325" s="4">
        <v>44430</v>
      </c>
      <c r="E325" s="3" t="s">
        <v>19</v>
      </c>
      <c r="F325" s="3" t="s">
        <v>501</v>
      </c>
      <c r="G325" s="3" t="s">
        <v>30</v>
      </c>
      <c r="H325" s="3" t="s">
        <v>90</v>
      </c>
      <c r="I325" s="3" t="s">
        <v>99</v>
      </c>
      <c r="J325" s="3" t="s">
        <v>100</v>
      </c>
      <c r="K325" s="3" t="s">
        <v>33</v>
      </c>
      <c r="L325" s="3" t="s">
        <v>49</v>
      </c>
      <c r="M325" s="3" t="s">
        <v>208</v>
      </c>
      <c r="N325" s="3">
        <v>11</v>
      </c>
      <c r="O325" s="5">
        <v>0</v>
      </c>
      <c r="P325" s="6">
        <v>3498.65</v>
      </c>
      <c r="Q325" s="6">
        <v>-523.34</v>
      </c>
    </row>
    <row r="326" spans="1:17" x14ac:dyDescent="0.3">
      <c r="A326" s="3">
        <v>325</v>
      </c>
      <c r="B326" s="3" t="s">
        <v>672</v>
      </c>
      <c r="C326" s="4">
        <v>45606</v>
      </c>
      <c r="D326" s="4">
        <v>45611</v>
      </c>
      <c r="E326" s="3" t="s">
        <v>62</v>
      </c>
      <c r="F326" s="3" t="s">
        <v>569</v>
      </c>
      <c r="G326" s="3" t="s">
        <v>30</v>
      </c>
      <c r="H326" s="3" t="s">
        <v>22</v>
      </c>
      <c r="I326" s="3" t="s">
        <v>23</v>
      </c>
      <c r="J326" s="3" t="s">
        <v>24</v>
      </c>
      <c r="K326" s="3" t="s">
        <v>25</v>
      </c>
      <c r="L326" s="3" t="s">
        <v>53</v>
      </c>
      <c r="M326" s="3" t="s">
        <v>54</v>
      </c>
      <c r="N326" s="3">
        <v>3</v>
      </c>
      <c r="O326" s="5">
        <v>0</v>
      </c>
      <c r="P326" s="6">
        <v>137.47999999999999</v>
      </c>
      <c r="Q326" s="6">
        <v>-13.85</v>
      </c>
    </row>
    <row r="327" spans="1:17" x14ac:dyDescent="0.3">
      <c r="A327" s="3">
        <v>326</v>
      </c>
      <c r="B327" s="3" t="s">
        <v>673</v>
      </c>
      <c r="C327" s="4">
        <v>44416</v>
      </c>
      <c r="D327" s="4">
        <v>44418</v>
      </c>
      <c r="E327" s="3" t="s">
        <v>56</v>
      </c>
      <c r="F327" s="3" t="s">
        <v>175</v>
      </c>
      <c r="G327" s="3" t="s">
        <v>39</v>
      </c>
      <c r="H327" s="3" t="s">
        <v>22</v>
      </c>
      <c r="I327" s="3" t="s">
        <v>72</v>
      </c>
      <c r="J327" s="3" t="s">
        <v>73</v>
      </c>
      <c r="K327" s="3" t="s">
        <v>25</v>
      </c>
      <c r="L327" s="3" t="s">
        <v>53</v>
      </c>
      <c r="M327" s="3" t="s">
        <v>171</v>
      </c>
      <c r="N327" s="3">
        <v>8</v>
      </c>
      <c r="O327" s="5">
        <v>0.2</v>
      </c>
      <c r="P327" s="6">
        <v>221.51</v>
      </c>
      <c r="Q327" s="6">
        <v>51.68</v>
      </c>
    </row>
    <row r="328" spans="1:17" x14ac:dyDescent="0.3">
      <c r="A328" s="3">
        <v>327</v>
      </c>
      <c r="B328" s="3" t="s">
        <v>674</v>
      </c>
      <c r="C328" s="4">
        <v>45644</v>
      </c>
      <c r="D328" s="4">
        <v>45648</v>
      </c>
      <c r="E328" s="3" t="s">
        <v>56</v>
      </c>
      <c r="F328" s="3" t="s">
        <v>675</v>
      </c>
      <c r="G328" s="3" t="s">
        <v>30</v>
      </c>
      <c r="H328" s="3" t="s">
        <v>46</v>
      </c>
      <c r="I328" s="3" t="s">
        <v>78</v>
      </c>
      <c r="J328" s="3" t="s">
        <v>79</v>
      </c>
      <c r="K328" s="3" t="s">
        <v>25</v>
      </c>
      <c r="L328" s="3" t="s">
        <v>116</v>
      </c>
      <c r="M328" s="3" t="s">
        <v>166</v>
      </c>
      <c r="N328" s="3">
        <v>9</v>
      </c>
      <c r="O328" s="5">
        <v>0.4</v>
      </c>
      <c r="P328" s="6">
        <v>291.27</v>
      </c>
      <c r="Q328" s="6">
        <v>-39.65</v>
      </c>
    </row>
    <row r="329" spans="1:17" x14ac:dyDescent="0.3">
      <c r="A329" s="3">
        <v>328</v>
      </c>
      <c r="B329" s="3" t="s">
        <v>676</v>
      </c>
      <c r="C329" s="4">
        <v>45284</v>
      </c>
      <c r="D329" s="4">
        <v>45286</v>
      </c>
      <c r="E329" s="3" t="s">
        <v>19</v>
      </c>
      <c r="F329" s="3" t="s">
        <v>677</v>
      </c>
      <c r="G329" s="3" t="s">
        <v>30</v>
      </c>
      <c r="H329" s="3" t="s">
        <v>46</v>
      </c>
      <c r="I329" s="3" t="s">
        <v>47</v>
      </c>
      <c r="J329" s="3" t="s">
        <v>48</v>
      </c>
      <c r="K329" s="3" t="s">
        <v>58</v>
      </c>
      <c r="L329" s="3" t="s">
        <v>86</v>
      </c>
      <c r="M329" s="3" t="s">
        <v>87</v>
      </c>
      <c r="N329" s="3">
        <v>8</v>
      </c>
      <c r="O329" s="5">
        <v>0.15</v>
      </c>
      <c r="P329" s="6">
        <v>1290.9000000000001</v>
      </c>
      <c r="Q329" s="6">
        <v>96.77</v>
      </c>
    </row>
    <row r="330" spans="1:17" x14ac:dyDescent="0.3">
      <c r="A330" s="3">
        <v>329</v>
      </c>
      <c r="B330" s="3" t="s">
        <v>678</v>
      </c>
      <c r="C330" s="4">
        <v>44326</v>
      </c>
      <c r="D330" s="4">
        <v>44332</v>
      </c>
      <c r="E330" s="3" t="s">
        <v>37</v>
      </c>
      <c r="F330" s="3" t="s">
        <v>679</v>
      </c>
      <c r="G330" s="3" t="s">
        <v>39</v>
      </c>
      <c r="H330" s="3" t="s">
        <v>22</v>
      </c>
      <c r="I330" s="3" t="s">
        <v>31</v>
      </c>
      <c r="J330" s="3" t="s">
        <v>32</v>
      </c>
      <c r="K330" s="3" t="s">
        <v>58</v>
      </c>
      <c r="L330" s="3" t="s">
        <v>86</v>
      </c>
      <c r="M330" s="3" t="s">
        <v>211</v>
      </c>
      <c r="N330" s="3">
        <v>9</v>
      </c>
      <c r="O330" s="5">
        <v>0.1</v>
      </c>
      <c r="P330" s="6">
        <v>3622.54</v>
      </c>
      <c r="Q330" s="6">
        <v>233.44</v>
      </c>
    </row>
    <row r="331" spans="1:17" x14ac:dyDescent="0.3">
      <c r="A331" s="3">
        <v>330</v>
      </c>
      <c r="B331" s="3" t="s">
        <v>680</v>
      </c>
      <c r="C331" s="4">
        <v>45268</v>
      </c>
      <c r="D331" s="4">
        <v>45274</v>
      </c>
      <c r="E331" s="3" t="s">
        <v>19</v>
      </c>
      <c r="F331" s="3" t="s">
        <v>681</v>
      </c>
      <c r="G331" s="3" t="s">
        <v>30</v>
      </c>
      <c r="H331" s="3" t="s">
        <v>46</v>
      </c>
      <c r="I331" s="3" t="s">
        <v>146</v>
      </c>
      <c r="J331" s="3" t="s">
        <v>147</v>
      </c>
      <c r="K331" s="3" t="s">
        <v>25</v>
      </c>
      <c r="L331" s="3" t="s">
        <v>116</v>
      </c>
      <c r="M331" s="3" t="s">
        <v>202</v>
      </c>
      <c r="N331" s="3">
        <v>2</v>
      </c>
      <c r="O331" s="5">
        <v>0</v>
      </c>
      <c r="P331" s="6">
        <v>14.33</v>
      </c>
      <c r="Q331" s="6">
        <v>-2.0499999999999998</v>
      </c>
    </row>
    <row r="332" spans="1:17" x14ac:dyDescent="0.3">
      <c r="A332" s="3">
        <v>331</v>
      </c>
      <c r="B332" s="3" t="s">
        <v>682</v>
      </c>
      <c r="C332" s="4">
        <v>45200</v>
      </c>
      <c r="D332" s="4">
        <v>45205</v>
      </c>
      <c r="E332" s="3" t="s">
        <v>19</v>
      </c>
      <c r="F332" s="3" t="s">
        <v>525</v>
      </c>
      <c r="G332" s="3" t="s">
        <v>21</v>
      </c>
      <c r="H332" s="3" t="s">
        <v>22</v>
      </c>
      <c r="I332" s="3" t="s">
        <v>23</v>
      </c>
      <c r="J332" s="3" t="s">
        <v>24</v>
      </c>
      <c r="K332" s="3" t="s">
        <v>25</v>
      </c>
      <c r="L332" s="3" t="s">
        <v>74</v>
      </c>
      <c r="M332" s="3" t="s">
        <v>101</v>
      </c>
      <c r="N332" s="3">
        <v>10</v>
      </c>
      <c r="O332" s="5">
        <v>0.15</v>
      </c>
      <c r="P332" s="6">
        <v>809.41</v>
      </c>
      <c r="Q332" s="6">
        <v>-178.51</v>
      </c>
    </row>
    <row r="333" spans="1:17" x14ac:dyDescent="0.3">
      <c r="A333" s="3">
        <v>332</v>
      </c>
      <c r="B333" s="3" t="s">
        <v>683</v>
      </c>
      <c r="C333" s="4">
        <v>44936</v>
      </c>
      <c r="D333" s="4">
        <v>44941</v>
      </c>
      <c r="E333" s="3" t="s">
        <v>62</v>
      </c>
      <c r="F333" s="3" t="s">
        <v>519</v>
      </c>
      <c r="G333" s="3" t="s">
        <v>39</v>
      </c>
      <c r="H333" s="3" t="s">
        <v>90</v>
      </c>
      <c r="I333" s="3" t="s">
        <v>169</v>
      </c>
      <c r="J333" s="3" t="s">
        <v>170</v>
      </c>
      <c r="K333" s="3" t="s">
        <v>25</v>
      </c>
      <c r="L333" s="3" t="s">
        <v>53</v>
      </c>
      <c r="M333" s="3" t="s">
        <v>139</v>
      </c>
      <c r="N333" s="3">
        <v>12</v>
      </c>
      <c r="O333" s="5">
        <v>0.3</v>
      </c>
      <c r="P333" s="6">
        <v>1230.82</v>
      </c>
      <c r="Q333" s="6">
        <v>299.36</v>
      </c>
    </row>
    <row r="334" spans="1:17" x14ac:dyDescent="0.3">
      <c r="A334" s="3">
        <v>333</v>
      </c>
      <c r="B334" s="3" t="s">
        <v>684</v>
      </c>
      <c r="C334" s="4">
        <v>44404</v>
      </c>
      <c r="D334" s="4">
        <v>44410</v>
      </c>
      <c r="E334" s="3" t="s">
        <v>56</v>
      </c>
      <c r="F334" s="3" t="s">
        <v>685</v>
      </c>
      <c r="G334" s="3" t="s">
        <v>39</v>
      </c>
      <c r="H334" s="3" t="s">
        <v>22</v>
      </c>
      <c r="I334" s="3" t="s">
        <v>72</v>
      </c>
      <c r="J334" s="3" t="s">
        <v>73</v>
      </c>
      <c r="K334" s="3" t="s">
        <v>33</v>
      </c>
      <c r="L334" s="3" t="s">
        <v>95</v>
      </c>
      <c r="M334" s="3" t="s">
        <v>262</v>
      </c>
      <c r="N334" s="3">
        <v>4</v>
      </c>
      <c r="O334" s="5">
        <v>0.1</v>
      </c>
      <c r="P334" s="6">
        <v>1489.42</v>
      </c>
      <c r="Q334" s="6">
        <v>-199.77</v>
      </c>
    </row>
    <row r="335" spans="1:17" x14ac:dyDescent="0.3">
      <c r="A335" s="3">
        <v>334</v>
      </c>
      <c r="B335" s="3" t="s">
        <v>686</v>
      </c>
      <c r="C335" s="4">
        <v>45559</v>
      </c>
      <c r="D335" s="4">
        <v>45563</v>
      </c>
      <c r="E335" s="3" t="s">
        <v>56</v>
      </c>
      <c r="F335" s="3" t="s">
        <v>687</v>
      </c>
      <c r="G335" s="3" t="s">
        <v>39</v>
      </c>
      <c r="H335" s="3" t="s">
        <v>22</v>
      </c>
      <c r="I335" s="3" t="s">
        <v>31</v>
      </c>
      <c r="J335" s="3" t="s">
        <v>32</v>
      </c>
      <c r="K335" s="3" t="s">
        <v>25</v>
      </c>
      <c r="L335" s="3" t="s">
        <v>74</v>
      </c>
      <c r="M335" s="3" t="s">
        <v>101</v>
      </c>
      <c r="N335" s="3">
        <v>2</v>
      </c>
      <c r="O335" s="5">
        <v>0</v>
      </c>
      <c r="P335" s="6">
        <v>43.37</v>
      </c>
      <c r="Q335" s="6">
        <v>3.47</v>
      </c>
    </row>
    <row r="336" spans="1:17" x14ac:dyDescent="0.3">
      <c r="A336" s="3">
        <v>335</v>
      </c>
      <c r="B336" s="3" t="s">
        <v>688</v>
      </c>
      <c r="C336" s="4">
        <v>45041</v>
      </c>
      <c r="D336" s="4">
        <v>45048</v>
      </c>
      <c r="E336" s="3" t="s">
        <v>37</v>
      </c>
      <c r="F336" s="3" t="s">
        <v>145</v>
      </c>
      <c r="G336" s="3" t="s">
        <v>39</v>
      </c>
      <c r="H336" s="3" t="s">
        <v>46</v>
      </c>
      <c r="I336" s="3" t="s">
        <v>281</v>
      </c>
      <c r="J336" s="3" t="s">
        <v>282</v>
      </c>
      <c r="K336" s="3" t="s">
        <v>25</v>
      </c>
      <c r="L336" s="3" t="s">
        <v>106</v>
      </c>
      <c r="M336" s="3" t="s">
        <v>107</v>
      </c>
      <c r="N336" s="3">
        <v>11</v>
      </c>
      <c r="O336" s="5">
        <v>0.2</v>
      </c>
      <c r="P336" s="6">
        <v>546.04999999999995</v>
      </c>
      <c r="Q336" s="6">
        <v>62.82</v>
      </c>
    </row>
    <row r="337" spans="1:17" x14ac:dyDescent="0.3">
      <c r="A337" s="3">
        <v>336</v>
      </c>
      <c r="B337" s="3" t="s">
        <v>689</v>
      </c>
      <c r="C337" s="4">
        <v>44267</v>
      </c>
      <c r="D337" s="4">
        <v>44270</v>
      </c>
      <c r="E337" s="3" t="s">
        <v>19</v>
      </c>
      <c r="F337" s="3" t="s">
        <v>690</v>
      </c>
      <c r="G337" s="3" t="s">
        <v>21</v>
      </c>
      <c r="H337" s="3" t="s">
        <v>46</v>
      </c>
      <c r="I337" s="3" t="s">
        <v>146</v>
      </c>
      <c r="J337" s="3" t="s">
        <v>147</v>
      </c>
      <c r="K337" s="3" t="s">
        <v>25</v>
      </c>
      <c r="L337" s="3" t="s">
        <v>74</v>
      </c>
      <c r="M337" s="3" t="s">
        <v>75</v>
      </c>
      <c r="N337" s="3">
        <v>10</v>
      </c>
      <c r="O337" s="5">
        <v>0</v>
      </c>
      <c r="P337" s="6">
        <v>39.24</v>
      </c>
      <c r="Q337" s="6">
        <v>13.58</v>
      </c>
    </row>
    <row r="338" spans="1:17" x14ac:dyDescent="0.3">
      <c r="A338" s="3">
        <v>337</v>
      </c>
      <c r="B338" s="3" t="s">
        <v>691</v>
      </c>
      <c r="C338" s="4">
        <v>45244</v>
      </c>
      <c r="D338" s="4">
        <v>45249</v>
      </c>
      <c r="E338" s="3" t="s">
        <v>37</v>
      </c>
      <c r="F338" s="3" t="s">
        <v>692</v>
      </c>
      <c r="G338" s="3" t="s">
        <v>21</v>
      </c>
      <c r="H338" s="3" t="s">
        <v>46</v>
      </c>
      <c r="I338" s="3" t="s">
        <v>257</v>
      </c>
      <c r="J338" s="3" t="s">
        <v>258</v>
      </c>
      <c r="K338" s="3" t="s">
        <v>58</v>
      </c>
      <c r="L338" s="3" t="s">
        <v>199</v>
      </c>
      <c r="M338" s="3" t="s">
        <v>205</v>
      </c>
      <c r="N338" s="3">
        <v>10</v>
      </c>
      <c r="O338" s="5">
        <v>0</v>
      </c>
      <c r="P338" s="6">
        <v>4651.84</v>
      </c>
      <c r="Q338" s="6">
        <v>-899.79</v>
      </c>
    </row>
    <row r="339" spans="1:17" x14ac:dyDescent="0.3">
      <c r="A339" s="3">
        <v>338</v>
      </c>
      <c r="B339" s="3" t="s">
        <v>693</v>
      </c>
      <c r="C339" s="4">
        <v>44385</v>
      </c>
      <c r="D339" s="4">
        <v>44390</v>
      </c>
      <c r="E339" s="3" t="s">
        <v>62</v>
      </c>
      <c r="F339" s="3" t="s">
        <v>694</v>
      </c>
      <c r="G339" s="3" t="s">
        <v>30</v>
      </c>
      <c r="H339" s="3" t="s">
        <v>46</v>
      </c>
      <c r="I339" s="3" t="s">
        <v>47</v>
      </c>
      <c r="J339" s="3" t="s">
        <v>48</v>
      </c>
      <c r="K339" s="3" t="s">
        <v>25</v>
      </c>
      <c r="L339" s="3" t="s">
        <v>106</v>
      </c>
      <c r="M339" s="3" t="s">
        <v>107</v>
      </c>
      <c r="N339" s="3">
        <v>7</v>
      </c>
      <c r="O339" s="5">
        <v>0.1</v>
      </c>
      <c r="P339" s="6">
        <v>469.53</v>
      </c>
      <c r="Q339" s="6">
        <v>89.47</v>
      </c>
    </row>
    <row r="340" spans="1:17" x14ac:dyDescent="0.3">
      <c r="A340" s="3">
        <v>339</v>
      </c>
      <c r="B340" s="3" t="s">
        <v>695</v>
      </c>
      <c r="C340" s="4">
        <v>44357</v>
      </c>
      <c r="D340" s="4">
        <v>44364</v>
      </c>
      <c r="E340" s="3" t="s">
        <v>62</v>
      </c>
      <c r="F340" s="3" t="s">
        <v>253</v>
      </c>
      <c r="G340" s="3" t="s">
        <v>21</v>
      </c>
      <c r="H340" s="3" t="s">
        <v>46</v>
      </c>
      <c r="I340" s="3" t="s">
        <v>257</v>
      </c>
      <c r="J340" s="3" t="s">
        <v>258</v>
      </c>
      <c r="K340" s="3" t="s">
        <v>25</v>
      </c>
      <c r="L340" s="3" t="s">
        <v>80</v>
      </c>
      <c r="M340" s="3" t="s">
        <v>150</v>
      </c>
      <c r="N340" s="3">
        <v>1</v>
      </c>
      <c r="O340" s="5">
        <v>0.2</v>
      </c>
      <c r="P340" s="6">
        <v>104.13</v>
      </c>
      <c r="Q340" s="6">
        <v>-4.29</v>
      </c>
    </row>
    <row r="341" spans="1:17" x14ac:dyDescent="0.3">
      <c r="A341" s="3">
        <v>340</v>
      </c>
      <c r="B341" s="3" t="s">
        <v>696</v>
      </c>
      <c r="C341" s="4">
        <v>45302</v>
      </c>
      <c r="D341" s="4">
        <v>45307</v>
      </c>
      <c r="E341" s="3" t="s">
        <v>62</v>
      </c>
      <c r="F341" s="3" t="s">
        <v>620</v>
      </c>
      <c r="G341" s="3" t="s">
        <v>39</v>
      </c>
      <c r="H341" s="3" t="s">
        <v>90</v>
      </c>
      <c r="I341" s="3" t="s">
        <v>169</v>
      </c>
      <c r="J341" s="3" t="s">
        <v>170</v>
      </c>
      <c r="K341" s="3" t="s">
        <v>25</v>
      </c>
      <c r="L341" s="3" t="s">
        <v>116</v>
      </c>
      <c r="M341" s="3" t="s">
        <v>166</v>
      </c>
      <c r="N341" s="3">
        <v>3</v>
      </c>
      <c r="O341" s="5">
        <v>0.1</v>
      </c>
      <c r="P341" s="6">
        <v>118.05</v>
      </c>
      <c r="Q341" s="6">
        <v>-18.66</v>
      </c>
    </row>
    <row r="342" spans="1:17" x14ac:dyDescent="0.3">
      <c r="A342" s="3">
        <v>341</v>
      </c>
      <c r="B342" s="3" t="s">
        <v>697</v>
      </c>
      <c r="C342" s="4">
        <v>44467</v>
      </c>
      <c r="D342" s="4">
        <v>44470</v>
      </c>
      <c r="E342" s="3" t="s">
        <v>56</v>
      </c>
      <c r="F342" s="3" t="s">
        <v>698</v>
      </c>
      <c r="G342" s="3" t="s">
        <v>39</v>
      </c>
      <c r="H342" s="3" t="s">
        <v>40</v>
      </c>
      <c r="I342" s="3" t="s">
        <v>185</v>
      </c>
      <c r="J342" s="3" t="s">
        <v>186</v>
      </c>
      <c r="K342" s="3" t="s">
        <v>25</v>
      </c>
      <c r="L342" s="3" t="s">
        <v>74</v>
      </c>
      <c r="M342" s="3" t="s">
        <v>75</v>
      </c>
      <c r="N342" s="3">
        <v>2</v>
      </c>
      <c r="O342" s="5">
        <v>0</v>
      </c>
      <c r="P342" s="6">
        <v>116.3</v>
      </c>
      <c r="Q342" s="6">
        <v>9.18</v>
      </c>
    </row>
    <row r="343" spans="1:17" x14ac:dyDescent="0.3">
      <c r="A343" s="3">
        <v>342</v>
      </c>
      <c r="B343" s="3" t="s">
        <v>699</v>
      </c>
      <c r="C343" s="4">
        <v>45006</v>
      </c>
      <c r="D343" s="4">
        <v>45012</v>
      </c>
      <c r="E343" s="3" t="s">
        <v>62</v>
      </c>
      <c r="F343" s="3" t="s">
        <v>29</v>
      </c>
      <c r="G343" s="3" t="s">
        <v>39</v>
      </c>
      <c r="H343" s="3" t="s">
        <v>40</v>
      </c>
      <c r="I343" s="3" t="s">
        <v>114</v>
      </c>
      <c r="J343" s="3" t="s">
        <v>115</v>
      </c>
      <c r="K343" s="3" t="s">
        <v>25</v>
      </c>
      <c r="L343" s="3" t="s">
        <v>26</v>
      </c>
      <c r="M343" s="3" t="s">
        <v>259</v>
      </c>
      <c r="N343" s="3">
        <v>10</v>
      </c>
      <c r="O343" s="5">
        <v>0.1</v>
      </c>
      <c r="P343" s="6">
        <v>243.86</v>
      </c>
      <c r="Q343" s="6">
        <v>-25.51</v>
      </c>
    </row>
    <row r="344" spans="1:17" x14ac:dyDescent="0.3">
      <c r="A344" s="3">
        <v>343</v>
      </c>
      <c r="B344" s="3" t="s">
        <v>700</v>
      </c>
      <c r="C344" s="4">
        <v>44853</v>
      </c>
      <c r="D344" s="4">
        <v>44856</v>
      </c>
      <c r="E344" s="3" t="s">
        <v>19</v>
      </c>
      <c r="F344" s="3" t="s">
        <v>330</v>
      </c>
      <c r="G344" s="3" t="s">
        <v>39</v>
      </c>
      <c r="H344" s="3" t="s">
        <v>22</v>
      </c>
      <c r="I344" s="3" t="s">
        <v>84</v>
      </c>
      <c r="J344" s="3" t="s">
        <v>85</v>
      </c>
      <c r="K344" s="3" t="s">
        <v>25</v>
      </c>
      <c r="L344" s="3" t="s">
        <v>106</v>
      </c>
      <c r="M344" s="3" t="s">
        <v>123</v>
      </c>
      <c r="N344" s="3">
        <v>10</v>
      </c>
      <c r="O344" s="5">
        <v>0.15</v>
      </c>
      <c r="P344" s="6">
        <v>757.68</v>
      </c>
      <c r="Q344" s="6">
        <v>-112.48</v>
      </c>
    </row>
    <row r="345" spans="1:17" x14ac:dyDescent="0.3">
      <c r="A345" s="3">
        <v>344</v>
      </c>
      <c r="B345" s="3" t="s">
        <v>701</v>
      </c>
      <c r="C345" s="4">
        <v>45600</v>
      </c>
      <c r="D345" s="4">
        <v>45603</v>
      </c>
      <c r="E345" s="3" t="s">
        <v>37</v>
      </c>
      <c r="F345" s="3" t="s">
        <v>609</v>
      </c>
      <c r="G345" s="3" t="s">
        <v>21</v>
      </c>
      <c r="H345" s="3" t="s">
        <v>90</v>
      </c>
      <c r="I345" s="3" t="s">
        <v>169</v>
      </c>
      <c r="J345" s="3" t="s">
        <v>170</v>
      </c>
      <c r="K345" s="3" t="s">
        <v>58</v>
      </c>
      <c r="L345" s="3" t="s">
        <v>86</v>
      </c>
      <c r="M345" s="3" t="s">
        <v>87</v>
      </c>
      <c r="N345" s="3">
        <v>3</v>
      </c>
      <c r="O345" s="5">
        <v>0</v>
      </c>
      <c r="P345" s="6">
        <v>1158.4000000000001</v>
      </c>
      <c r="Q345" s="6">
        <v>-211.5</v>
      </c>
    </row>
    <row r="346" spans="1:17" x14ac:dyDescent="0.3">
      <c r="A346" s="3">
        <v>345</v>
      </c>
      <c r="B346" s="3" t="s">
        <v>702</v>
      </c>
      <c r="C346" s="4">
        <v>45118</v>
      </c>
      <c r="D346" s="4">
        <v>45122</v>
      </c>
      <c r="E346" s="3" t="s">
        <v>19</v>
      </c>
      <c r="F346" s="3" t="s">
        <v>703</v>
      </c>
      <c r="G346" s="3" t="s">
        <v>39</v>
      </c>
      <c r="H346" s="3" t="s">
        <v>22</v>
      </c>
      <c r="I346" s="3" t="s">
        <v>72</v>
      </c>
      <c r="J346" s="3" t="s">
        <v>73</v>
      </c>
      <c r="K346" s="3" t="s">
        <v>25</v>
      </c>
      <c r="L346" s="3" t="s">
        <v>116</v>
      </c>
      <c r="M346" s="3" t="s">
        <v>166</v>
      </c>
      <c r="N346" s="3">
        <v>1</v>
      </c>
      <c r="O346" s="5">
        <v>0.1</v>
      </c>
      <c r="P346" s="6">
        <v>39.93</v>
      </c>
      <c r="Q346" s="6">
        <v>-5.0999999999999996</v>
      </c>
    </row>
    <row r="347" spans="1:17" x14ac:dyDescent="0.3">
      <c r="A347" s="3">
        <v>346</v>
      </c>
      <c r="B347" s="3" t="s">
        <v>704</v>
      </c>
      <c r="C347" s="4">
        <v>44286</v>
      </c>
      <c r="D347" s="4">
        <v>44289</v>
      </c>
      <c r="E347" s="3" t="s">
        <v>62</v>
      </c>
      <c r="F347" s="3" t="s">
        <v>300</v>
      </c>
      <c r="G347" s="3" t="s">
        <v>39</v>
      </c>
      <c r="H347" s="3" t="s">
        <v>22</v>
      </c>
      <c r="I347" s="3" t="s">
        <v>84</v>
      </c>
      <c r="J347" s="3" t="s">
        <v>85</v>
      </c>
      <c r="K347" s="3" t="s">
        <v>25</v>
      </c>
      <c r="L347" s="3" t="s">
        <v>53</v>
      </c>
      <c r="M347" s="3" t="s">
        <v>171</v>
      </c>
      <c r="N347" s="3">
        <v>3</v>
      </c>
      <c r="O347" s="5">
        <v>0.1</v>
      </c>
      <c r="P347" s="6">
        <v>26.46</v>
      </c>
      <c r="Q347" s="6">
        <v>5.91</v>
      </c>
    </row>
    <row r="348" spans="1:17" x14ac:dyDescent="0.3">
      <c r="A348" s="3">
        <v>347</v>
      </c>
      <c r="B348" s="3" t="s">
        <v>705</v>
      </c>
      <c r="C348" s="4">
        <v>44934</v>
      </c>
      <c r="D348" s="4">
        <v>44941</v>
      </c>
      <c r="E348" s="3" t="s">
        <v>56</v>
      </c>
      <c r="F348" s="3" t="s">
        <v>541</v>
      </c>
      <c r="G348" s="3" t="s">
        <v>30</v>
      </c>
      <c r="H348" s="3" t="s">
        <v>22</v>
      </c>
      <c r="I348" s="3" t="s">
        <v>84</v>
      </c>
      <c r="J348" s="3" t="s">
        <v>85</v>
      </c>
      <c r="K348" s="3" t="s">
        <v>25</v>
      </c>
      <c r="L348" s="3" t="s">
        <v>53</v>
      </c>
      <c r="M348" s="3" t="s">
        <v>171</v>
      </c>
      <c r="N348" s="3">
        <v>2</v>
      </c>
      <c r="O348" s="5">
        <v>0.3</v>
      </c>
      <c r="P348" s="6">
        <v>7.74</v>
      </c>
      <c r="Q348" s="6">
        <v>-0.86</v>
      </c>
    </row>
    <row r="349" spans="1:17" x14ac:dyDescent="0.3">
      <c r="A349" s="3">
        <v>348</v>
      </c>
      <c r="B349" s="3" t="s">
        <v>706</v>
      </c>
      <c r="C349" s="4">
        <v>44278</v>
      </c>
      <c r="D349" s="4">
        <v>44280</v>
      </c>
      <c r="E349" s="3" t="s">
        <v>37</v>
      </c>
      <c r="F349" s="3" t="s">
        <v>707</v>
      </c>
      <c r="G349" s="3" t="s">
        <v>39</v>
      </c>
      <c r="H349" s="3" t="s">
        <v>22</v>
      </c>
      <c r="I349" s="3" t="s">
        <v>68</v>
      </c>
      <c r="J349" s="3" t="s">
        <v>69</v>
      </c>
      <c r="K349" s="3" t="s">
        <v>33</v>
      </c>
      <c r="L349" s="3" t="s">
        <v>34</v>
      </c>
      <c r="M349" s="3" t="s">
        <v>43</v>
      </c>
      <c r="N349" s="3">
        <v>9</v>
      </c>
      <c r="O349" s="5">
        <v>0.4</v>
      </c>
      <c r="P349" s="6">
        <v>1828.14</v>
      </c>
      <c r="Q349" s="6">
        <v>-25.52</v>
      </c>
    </row>
    <row r="350" spans="1:17" x14ac:dyDescent="0.3">
      <c r="A350" s="3">
        <v>349</v>
      </c>
      <c r="B350" s="3" t="s">
        <v>708</v>
      </c>
      <c r="C350" s="4">
        <v>44323</v>
      </c>
      <c r="D350" s="4">
        <v>44329</v>
      </c>
      <c r="E350" s="3" t="s">
        <v>56</v>
      </c>
      <c r="F350" s="3" t="s">
        <v>379</v>
      </c>
      <c r="G350" s="3" t="s">
        <v>30</v>
      </c>
      <c r="H350" s="3" t="s">
        <v>46</v>
      </c>
      <c r="I350" s="3" t="s">
        <v>281</v>
      </c>
      <c r="J350" s="3" t="s">
        <v>282</v>
      </c>
      <c r="K350" s="3" t="s">
        <v>25</v>
      </c>
      <c r="L350" s="3" t="s">
        <v>80</v>
      </c>
      <c r="M350" s="3" t="s">
        <v>150</v>
      </c>
      <c r="N350" s="3">
        <v>5</v>
      </c>
      <c r="O350" s="5">
        <v>0</v>
      </c>
      <c r="P350" s="6">
        <v>528.41999999999996</v>
      </c>
      <c r="Q350" s="6">
        <v>167.24</v>
      </c>
    </row>
    <row r="351" spans="1:17" x14ac:dyDescent="0.3">
      <c r="A351" s="3">
        <v>350</v>
      </c>
      <c r="B351" s="3" t="s">
        <v>709</v>
      </c>
      <c r="C351" s="4">
        <v>45051</v>
      </c>
      <c r="D351" s="4">
        <v>45053</v>
      </c>
      <c r="E351" s="3" t="s">
        <v>19</v>
      </c>
      <c r="F351" s="3" t="s">
        <v>449</v>
      </c>
      <c r="G351" s="3" t="s">
        <v>21</v>
      </c>
      <c r="H351" s="3" t="s">
        <v>40</v>
      </c>
      <c r="I351" s="3" t="s">
        <v>158</v>
      </c>
      <c r="J351" s="3" t="s">
        <v>159</v>
      </c>
      <c r="K351" s="3" t="s">
        <v>25</v>
      </c>
      <c r="L351" s="3" t="s">
        <v>80</v>
      </c>
      <c r="M351" s="3" t="s">
        <v>81</v>
      </c>
      <c r="N351" s="3">
        <v>10</v>
      </c>
      <c r="O351" s="5">
        <v>0.15</v>
      </c>
      <c r="P351" s="6">
        <v>191.23</v>
      </c>
      <c r="Q351" s="6">
        <v>56.57</v>
      </c>
    </row>
    <row r="352" spans="1:17" x14ac:dyDescent="0.3">
      <c r="A352" s="3">
        <v>351</v>
      </c>
      <c r="B352" s="3" t="s">
        <v>710</v>
      </c>
      <c r="C352" s="4">
        <v>44829</v>
      </c>
      <c r="D352" s="4">
        <v>44835</v>
      </c>
      <c r="E352" s="3" t="s">
        <v>62</v>
      </c>
      <c r="F352" s="3" t="s">
        <v>685</v>
      </c>
      <c r="G352" s="3" t="s">
        <v>30</v>
      </c>
      <c r="H352" s="3" t="s">
        <v>40</v>
      </c>
      <c r="I352" s="3" t="s">
        <v>223</v>
      </c>
      <c r="J352" s="3" t="s">
        <v>224</v>
      </c>
      <c r="K352" s="3" t="s">
        <v>25</v>
      </c>
      <c r="L352" s="3" t="s">
        <v>26</v>
      </c>
      <c r="M352" s="3" t="s">
        <v>27</v>
      </c>
      <c r="N352" s="3">
        <v>12</v>
      </c>
      <c r="O352" s="5">
        <v>0</v>
      </c>
      <c r="P352" s="6">
        <v>1296.48</v>
      </c>
      <c r="Q352" s="6">
        <v>10.42</v>
      </c>
    </row>
    <row r="353" spans="1:17" x14ac:dyDescent="0.3">
      <c r="A353" s="3">
        <v>352</v>
      </c>
      <c r="B353" s="3" t="s">
        <v>711</v>
      </c>
      <c r="C353" s="4">
        <v>44257</v>
      </c>
      <c r="D353" s="4">
        <v>44264</v>
      </c>
      <c r="E353" s="3" t="s">
        <v>19</v>
      </c>
      <c r="F353" s="3" t="s">
        <v>712</v>
      </c>
      <c r="G353" s="3" t="s">
        <v>21</v>
      </c>
      <c r="H353" s="3" t="s">
        <v>22</v>
      </c>
      <c r="I353" s="3" t="s">
        <v>68</v>
      </c>
      <c r="J353" s="3" t="s">
        <v>69</v>
      </c>
      <c r="K353" s="3" t="s">
        <v>25</v>
      </c>
      <c r="L353" s="3" t="s">
        <v>26</v>
      </c>
      <c r="M353" s="3" t="s">
        <v>155</v>
      </c>
      <c r="N353" s="3">
        <v>6</v>
      </c>
      <c r="O353" s="5">
        <v>0.3</v>
      </c>
      <c r="P353" s="6">
        <v>577.97</v>
      </c>
      <c r="Q353" s="6">
        <v>188.83</v>
      </c>
    </row>
    <row r="354" spans="1:17" x14ac:dyDescent="0.3">
      <c r="A354" s="3">
        <v>353</v>
      </c>
      <c r="B354" s="3" t="s">
        <v>713</v>
      </c>
      <c r="C354" s="4">
        <v>45358</v>
      </c>
      <c r="D354" s="4">
        <v>45363</v>
      </c>
      <c r="E354" s="3" t="s">
        <v>56</v>
      </c>
      <c r="F354" s="3" t="s">
        <v>543</v>
      </c>
      <c r="G354" s="3" t="s">
        <v>21</v>
      </c>
      <c r="H354" s="3" t="s">
        <v>22</v>
      </c>
      <c r="I354" s="3" t="s">
        <v>68</v>
      </c>
      <c r="J354" s="3" t="s">
        <v>69</v>
      </c>
      <c r="K354" s="3" t="s">
        <v>33</v>
      </c>
      <c r="L354" s="3" t="s">
        <v>64</v>
      </c>
      <c r="M354" s="3" t="s">
        <v>65</v>
      </c>
      <c r="N354" s="3">
        <v>4</v>
      </c>
      <c r="O354" s="5">
        <v>0.1</v>
      </c>
      <c r="P354" s="6">
        <v>1658.87</v>
      </c>
      <c r="Q354" s="6">
        <v>269.44</v>
      </c>
    </row>
    <row r="355" spans="1:17" x14ac:dyDescent="0.3">
      <c r="A355" s="3">
        <v>354</v>
      </c>
      <c r="B355" s="3" t="s">
        <v>714</v>
      </c>
      <c r="C355" s="4">
        <v>44478</v>
      </c>
      <c r="D355" s="4">
        <v>44480</v>
      </c>
      <c r="E355" s="3" t="s">
        <v>19</v>
      </c>
      <c r="F355" s="3" t="s">
        <v>173</v>
      </c>
      <c r="G355" s="3" t="s">
        <v>21</v>
      </c>
      <c r="H355" s="3" t="s">
        <v>46</v>
      </c>
      <c r="I355" s="3" t="s">
        <v>78</v>
      </c>
      <c r="J355" s="3" t="s">
        <v>79</v>
      </c>
      <c r="K355" s="3" t="s">
        <v>58</v>
      </c>
      <c r="L355" s="3" t="s">
        <v>217</v>
      </c>
      <c r="M355" s="3" t="s">
        <v>218</v>
      </c>
      <c r="N355" s="3">
        <v>4</v>
      </c>
      <c r="O355" s="5">
        <v>0.3</v>
      </c>
      <c r="P355" s="6">
        <v>496.31</v>
      </c>
      <c r="Q355" s="6">
        <v>103.59</v>
      </c>
    </row>
    <row r="356" spans="1:17" x14ac:dyDescent="0.3">
      <c r="A356" s="3">
        <v>355</v>
      </c>
      <c r="B356" s="3" t="s">
        <v>715</v>
      </c>
      <c r="C356" s="4">
        <v>45605</v>
      </c>
      <c r="D356" s="4">
        <v>45608</v>
      </c>
      <c r="E356" s="3" t="s">
        <v>37</v>
      </c>
      <c r="F356" s="3" t="s">
        <v>716</v>
      </c>
      <c r="G356" s="3" t="s">
        <v>39</v>
      </c>
      <c r="H356" s="3" t="s">
        <v>40</v>
      </c>
      <c r="I356" s="3" t="s">
        <v>158</v>
      </c>
      <c r="J356" s="3" t="s">
        <v>159</v>
      </c>
      <c r="K356" s="3" t="s">
        <v>33</v>
      </c>
      <c r="L356" s="3" t="s">
        <v>34</v>
      </c>
      <c r="M356" s="3" t="s">
        <v>597</v>
      </c>
      <c r="N356" s="3">
        <v>14</v>
      </c>
      <c r="O356" s="5">
        <v>0.1</v>
      </c>
      <c r="P356" s="6">
        <v>4533.59</v>
      </c>
      <c r="Q356" s="6">
        <v>29.62</v>
      </c>
    </row>
    <row r="357" spans="1:17" x14ac:dyDescent="0.3">
      <c r="A357" s="3">
        <v>356</v>
      </c>
      <c r="B357" s="3" t="s">
        <v>717</v>
      </c>
      <c r="C357" s="4">
        <v>44420</v>
      </c>
      <c r="D357" s="4">
        <v>44424</v>
      </c>
      <c r="E357" s="3" t="s">
        <v>62</v>
      </c>
      <c r="F357" s="3" t="s">
        <v>306</v>
      </c>
      <c r="G357" s="3" t="s">
        <v>30</v>
      </c>
      <c r="H357" s="3" t="s">
        <v>90</v>
      </c>
      <c r="I357" s="3" t="s">
        <v>91</v>
      </c>
      <c r="J357" s="3" t="s">
        <v>92</v>
      </c>
      <c r="K357" s="3" t="s">
        <v>58</v>
      </c>
      <c r="L357" s="3" t="s">
        <v>59</v>
      </c>
      <c r="M357" s="3" t="s">
        <v>295</v>
      </c>
      <c r="N357" s="3">
        <v>8</v>
      </c>
      <c r="O357" s="5">
        <v>0</v>
      </c>
      <c r="P357" s="6">
        <v>3349.56</v>
      </c>
      <c r="Q357" s="6">
        <v>926.72</v>
      </c>
    </row>
    <row r="358" spans="1:17" x14ac:dyDescent="0.3">
      <c r="A358" s="3">
        <v>357</v>
      </c>
      <c r="B358" s="3" t="s">
        <v>718</v>
      </c>
      <c r="C358" s="4">
        <v>44793</v>
      </c>
      <c r="D358" s="4">
        <v>44797</v>
      </c>
      <c r="E358" s="3" t="s">
        <v>19</v>
      </c>
      <c r="F358" s="3" t="s">
        <v>626</v>
      </c>
      <c r="G358" s="3" t="s">
        <v>21</v>
      </c>
      <c r="H358" s="3" t="s">
        <v>90</v>
      </c>
      <c r="I358" s="3" t="s">
        <v>91</v>
      </c>
      <c r="J358" s="3" t="s">
        <v>92</v>
      </c>
      <c r="K358" s="3" t="s">
        <v>25</v>
      </c>
      <c r="L358" s="3" t="s">
        <v>116</v>
      </c>
      <c r="M358" s="3" t="s">
        <v>202</v>
      </c>
      <c r="N358" s="3">
        <v>7</v>
      </c>
      <c r="O358" s="5">
        <v>0.15</v>
      </c>
      <c r="P358" s="6">
        <v>711.01</v>
      </c>
      <c r="Q358" s="6">
        <v>19.059999999999999</v>
      </c>
    </row>
    <row r="359" spans="1:17" x14ac:dyDescent="0.3">
      <c r="A359" s="3">
        <v>358</v>
      </c>
      <c r="B359" s="3" t="s">
        <v>719</v>
      </c>
      <c r="C359" s="4">
        <v>45395</v>
      </c>
      <c r="D359" s="4">
        <v>45401</v>
      </c>
      <c r="E359" s="3" t="s">
        <v>19</v>
      </c>
      <c r="F359" s="3" t="s">
        <v>52</v>
      </c>
      <c r="G359" s="3" t="s">
        <v>39</v>
      </c>
      <c r="H359" s="3" t="s">
        <v>90</v>
      </c>
      <c r="I359" s="3" t="s">
        <v>110</v>
      </c>
      <c r="J359" s="3" t="s">
        <v>111</v>
      </c>
      <c r="K359" s="3" t="s">
        <v>33</v>
      </c>
      <c r="L359" s="3" t="s">
        <v>49</v>
      </c>
      <c r="M359" s="3" t="s">
        <v>208</v>
      </c>
      <c r="N359" s="3">
        <v>9</v>
      </c>
      <c r="O359" s="5">
        <v>0.3</v>
      </c>
      <c r="P359" s="6">
        <v>952.76</v>
      </c>
      <c r="Q359" s="6">
        <v>-53.28</v>
      </c>
    </row>
    <row r="360" spans="1:17" x14ac:dyDescent="0.3">
      <c r="A360" s="3">
        <v>359</v>
      </c>
      <c r="B360" s="3" t="s">
        <v>720</v>
      </c>
      <c r="C360" s="4">
        <v>45654</v>
      </c>
      <c r="D360" s="4">
        <v>45661</v>
      </c>
      <c r="E360" s="3" t="s">
        <v>56</v>
      </c>
      <c r="F360" s="3" t="s">
        <v>721</v>
      </c>
      <c r="G360" s="3" t="s">
        <v>39</v>
      </c>
      <c r="H360" s="3" t="s">
        <v>90</v>
      </c>
      <c r="I360" s="3" t="s">
        <v>169</v>
      </c>
      <c r="J360" s="3" t="s">
        <v>170</v>
      </c>
      <c r="K360" s="3" t="s">
        <v>25</v>
      </c>
      <c r="L360" s="3" t="s">
        <v>53</v>
      </c>
      <c r="M360" s="3" t="s">
        <v>171</v>
      </c>
      <c r="N360" s="3">
        <v>3</v>
      </c>
      <c r="O360" s="5">
        <v>0</v>
      </c>
      <c r="P360" s="6">
        <v>260.3</v>
      </c>
      <c r="Q360" s="6">
        <v>-50.83</v>
      </c>
    </row>
    <row r="361" spans="1:17" x14ac:dyDescent="0.3">
      <c r="A361" s="3">
        <v>360</v>
      </c>
      <c r="B361" s="3" t="s">
        <v>722</v>
      </c>
      <c r="C361" s="4">
        <v>44883</v>
      </c>
      <c r="D361" s="4">
        <v>44888</v>
      </c>
      <c r="E361" s="3" t="s">
        <v>37</v>
      </c>
      <c r="F361" s="3" t="s">
        <v>723</v>
      </c>
      <c r="G361" s="3" t="s">
        <v>30</v>
      </c>
      <c r="H361" s="3" t="s">
        <v>40</v>
      </c>
      <c r="I361" s="3" t="s">
        <v>185</v>
      </c>
      <c r="J361" s="3" t="s">
        <v>186</v>
      </c>
      <c r="K361" s="3" t="s">
        <v>25</v>
      </c>
      <c r="L361" s="3" t="s">
        <v>116</v>
      </c>
      <c r="M361" s="3" t="s">
        <v>202</v>
      </c>
      <c r="N361" s="3">
        <v>14</v>
      </c>
      <c r="O361" s="5">
        <v>0</v>
      </c>
      <c r="P361" s="6">
        <v>1117.54</v>
      </c>
      <c r="Q361" s="6">
        <v>-170.68</v>
      </c>
    </row>
    <row r="362" spans="1:17" x14ac:dyDescent="0.3">
      <c r="A362" s="3">
        <v>361</v>
      </c>
      <c r="B362" s="3" t="s">
        <v>724</v>
      </c>
      <c r="C362" s="4">
        <v>44466</v>
      </c>
      <c r="D362" s="4">
        <v>44468</v>
      </c>
      <c r="E362" s="3" t="s">
        <v>56</v>
      </c>
      <c r="F362" s="3" t="s">
        <v>725</v>
      </c>
      <c r="G362" s="3" t="s">
        <v>21</v>
      </c>
      <c r="H362" s="3" t="s">
        <v>46</v>
      </c>
      <c r="I362" s="3" t="s">
        <v>146</v>
      </c>
      <c r="J362" s="3" t="s">
        <v>147</v>
      </c>
      <c r="K362" s="3" t="s">
        <v>25</v>
      </c>
      <c r="L362" s="3" t="s">
        <v>26</v>
      </c>
      <c r="M362" s="3" t="s">
        <v>27</v>
      </c>
      <c r="N362" s="3">
        <v>1</v>
      </c>
      <c r="O362" s="5">
        <v>0.15</v>
      </c>
      <c r="P362" s="6">
        <v>72.069999999999993</v>
      </c>
      <c r="Q362" s="6">
        <v>-17.489999999999998</v>
      </c>
    </row>
    <row r="363" spans="1:17" x14ac:dyDescent="0.3">
      <c r="A363" s="3">
        <v>362</v>
      </c>
      <c r="B363" s="3" t="s">
        <v>726</v>
      </c>
      <c r="C363" s="4">
        <v>45036</v>
      </c>
      <c r="D363" s="4">
        <v>45040</v>
      </c>
      <c r="E363" s="3" t="s">
        <v>62</v>
      </c>
      <c r="F363" s="3" t="s">
        <v>727</v>
      </c>
      <c r="G363" s="3" t="s">
        <v>21</v>
      </c>
      <c r="H363" s="3" t="s">
        <v>40</v>
      </c>
      <c r="I363" s="3" t="s">
        <v>114</v>
      </c>
      <c r="J363" s="3" t="s">
        <v>115</v>
      </c>
      <c r="K363" s="3" t="s">
        <v>25</v>
      </c>
      <c r="L363" s="3" t="s">
        <v>74</v>
      </c>
      <c r="M363" s="3" t="s">
        <v>180</v>
      </c>
      <c r="N363" s="3">
        <v>2</v>
      </c>
      <c r="O363" s="5">
        <v>0</v>
      </c>
      <c r="P363" s="6">
        <v>145.88999999999999</v>
      </c>
      <c r="Q363" s="6">
        <v>-15.05</v>
      </c>
    </row>
    <row r="364" spans="1:17" x14ac:dyDescent="0.3">
      <c r="A364" s="3">
        <v>363</v>
      </c>
      <c r="B364" s="3" t="s">
        <v>728</v>
      </c>
      <c r="C364" s="4">
        <v>44494</v>
      </c>
      <c r="D364" s="4">
        <v>44501</v>
      </c>
      <c r="E364" s="3" t="s">
        <v>19</v>
      </c>
      <c r="F364" s="3" t="s">
        <v>377</v>
      </c>
      <c r="G364" s="3" t="s">
        <v>30</v>
      </c>
      <c r="H364" s="3" t="s">
        <v>40</v>
      </c>
      <c r="I364" s="3" t="s">
        <v>114</v>
      </c>
      <c r="J364" s="3" t="s">
        <v>115</v>
      </c>
      <c r="K364" s="3" t="s">
        <v>33</v>
      </c>
      <c r="L364" s="3" t="s">
        <v>64</v>
      </c>
      <c r="M364" s="3" t="s">
        <v>126</v>
      </c>
      <c r="N364" s="3">
        <v>1</v>
      </c>
      <c r="O364" s="5">
        <v>0.15</v>
      </c>
      <c r="P364" s="6">
        <v>453.84</v>
      </c>
      <c r="Q364" s="6">
        <v>-23.3</v>
      </c>
    </row>
    <row r="365" spans="1:17" x14ac:dyDescent="0.3">
      <c r="A365" s="3">
        <v>364</v>
      </c>
      <c r="B365" s="3" t="s">
        <v>729</v>
      </c>
      <c r="C365" s="4">
        <v>45415</v>
      </c>
      <c r="D365" s="4">
        <v>45420</v>
      </c>
      <c r="E365" s="3" t="s">
        <v>37</v>
      </c>
      <c r="F365" s="3" t="s">
        <v>730</v>
      </c>
      <c r="G365" s="3" t="s">
        <v>30</v>
      </c>
      <c r="H365" s="3" t="s">
        <v>40</v>
      </c>
      <c r="I365" s="3" t="s">
        <v>41</v>
      </c>
      <c r="J365" s="3" t="s">
        <v>42</v>
      </c>
      <c r="K365" s="3" t="s">
        <v>25</v>
      </c>
      <c r="L365" s="3" t="s">
        <v>53</v>
      </c>
      <c r="M365" s="3" t="s">
        <v>171</v>
      </c>
      <c r="N365" s="3">
        <v>13</v>
      </c>
      <c r="O365" s="5">
        <v>0.4</v>
      </c>
      <c r="P365" s="6">
        <v>781.77</v>
      </c>
      <c r="Q365" s="6">
        <v>156.04</v>
      </c>
    </row>
    <row r="366" spans="1:17" x14ac:dyDescent="0.3">
      <c r="A366" s="3">
        <v>365</v>
      </c>
      <c r="B366" s="3" t="s">
        <v>731</v>
      </c>
      <c r="C366" s="4">
        <v>44796</v>
      </c>
      <c r="D366" s="4">
        <v>44800</v>
      </c>
      <c r="E366" s="3" t="s">
        <v>19</v>
      </c>
      <c r="F366" s="3" t="s">
        <v>556</v>
      </c>
      <c r="G366" s="3" t="s">
        <v>39</v>
      </c>
      <c r="H366" s="3" t="s">
        <v>46</v>
      </c>
      <c r="I366" s="3" t="s">
        <v>146</v>
      </c>
      <c r="J366" s="3" t="s">
        <v>147</v>
      </c>
      <c r="K366" s="3" t="s">
        <v>58</v>
      </c>
      <c r="L366" s="3" t="s">
        <v>217</v>
      </c>
      <c r="M366" s="3" t="s">
        <v>232</v>
      </c>
      <c r="N366" s="3">
        <v>3</v>
      </c>
      <c r="O366" s="5">
        <v>0.15</v>
      </c>
      <c r="P366" s="6">
        <v>250.26</v>
      </c>
      <c r="Q366" s="6">
        <v>-13.13</v>
      </c>
    </row>
    <row r="367" spans="1:17" x14ac:dyDescent="0.3">
      <c r="A367" s="3">
        <v>366</v>
      </c>
      <c r="B367" s="3" t="s">
        <v>732</v>
      </c>
      <c r="C367" s="4">
        <v>44376</v>
      </c>
      <c r="D367" s="4">
        <v>44380</v>
      </c>
      <c r="E367" s="3" t="s">
        <v>37</v>
      </c>
      <c r="F367" s="3" t="s">
        <v>128</v>
      </c>
      <c r="G367" s="3" t="s">
        <v>39</v>
      </c>
      <c r="H367" s="3" t="s">
        <v>22</v>
      </c>
      <c r="I367" s="3" t="s">
        <v>23</v>
      </c>
      <c r="J367" s="3" t="s">
        <v>24</v>
      </c>
      <c r="K367" s="3" t="s">
        <v>25</v>
      </c>
      <c r="L367" s="3" t="s">
        <v>53</v>
      </c>
      <c r="M367" s="3" t="s">
        <v>171</v>
      </c>
      <c r="N367" s="3">
        <v>12</v>
      </c>
      <c r="O367" s="5">
        <v>0.15</v>
      </c>
      <c r="P367" s="6">
        <v>954.17</v>
      </c>
      <c r="Q367" s="6">
        <v>5.95</v>
      </c>
    </row>
    <row r="368" spans="1:17" x14ac:dyDescent="0.3">
      <c r="A368" s="3">
        <v>367</v>
      </c>
      <c r="B368" s="3" t="s">
        <v>733</v>
      </c>
      <c r="C368" s="4">
        <v>45205</v>
      </c>
      <c r="D368" s="4">
        <v>45212</v>
      </c>
      <c r="E368" s="3" t="s">
        <v>56</v>
      </c>
      <c r="F368" s="3" t="s">
        <v>734</v>
      </c>
      <c r="G368" s="3" t="s">
        <v>21</v>
      </c>
      <c r="H368" s="3" t="s">
        <v>40</v>
      </c>
      <c r="I368" s="3" t="s">
        <v>223</v>
      </c>
      <c r="J368" s="3" t="s">
        <v>224</v>
      </c>
      <c r="K368" s="3" t="s">
        <v>25</v>
      </c>
      <c r="L368" s="3" t="s">
        <v>80</v>
      </c>
      <c r="M368" s="3" t="s">
        <v>150</v>
      </c>
      <c r="N368" s="3">
        <v>3</v>
      </c>
      <c r="O368" s="5">
        <v>0.1</v>
      </c>
      <c r="P368" s="6">
        <v>309.25</v>
      </c>
      <c r="Q368" s="6">
        <v>54.17</v>
      </c>
    </row>
    <row r="369" spans="1:17" x14ac:dyDescent="0.3">
      <c r="A369" s="3">
        <v>368</v>
      </c>
      <c r="B369" s="3" t="s">
        <v>735</v>
      </c>
      <c r="C369" s="4">
        <v>44290</v>
      </c>
      <c r="D369" s="4">
        <v>44293</v>
      </c>
      <c r="E369" s="3" t="s">
        <v>37</v>
      </c>
      <c r="F369" s="3" t="s">
        <v>401</v>
      </c>
      <c r="G369" s="3" t="s">
        <v>21</v>
      </c>
      <c r="H369" s="3" t="s">
        <v>22</v>
      </c>
      <c r="I369" s="3" t="s">
        <v>68</v>
      </c>
      <c r="J369" s="3" t="s">
        <v>69</v>
      </c>
      <c r="K369" s="3" t="s">
        <v>58</v>
      </c>
      <c r="L369" s="3" t="s">
        <v>217</v>
      </c>
      <c r="M369" s="3" t="s">
        <v>218</v>
      </c>
      <c r="N369" s="3">
        <v>6</v>
      </c>
      <c r="O369" s="5">
        <v>0.1</v>
      </c>
      <c r="P369" s="6">
        <v>1707.56</v>
      </c>
      <c r="Q369" s="6">
        <v>-415.32</v>
      </c>
    </row>
    <row r="370" spans="1:17" x14ac:dyDescent="0.3">
      <c r="A370" s="3">
        <v>369</v>
      </c>
      <c r="B370" s="3" t="s">
        <v>736</v>
      </c>
      <c r="C370" s="4">
        <v>45601</v>
      </c>
      <c r="D370" s="4">
        <v>45604</v>
      </c>
      <c r="E370" s="3" t="s">
        <v>56</v>
      </c>
      <c r="F370" s="3" t="s">
        <v>737</v>
      </c>
      <c r="G370" s="3" t="s">
        <v>39</v>
      </c>
      <c r="H370" s="3" t="s">
        <v>46</v>
      </c>
      <c r="I370" s="3" t="s">
        <v>47</v>
      </c>
      <c r="J370" s="3" t="s">
        <v>48</v>
      </c>
      <c r="K370" s="3" t="s">
        <v>25</v>
      </c>
      <c r="L370" s="3" t="s">
        <v>116</v>
      </c>
      <c r="M370" s="3" t="s">
        <v>202</v>
      </c>
      <c r="N370" s="3">
        <v>6</v>
      </c>
      <c r="O370" s="5">
        <v>0</v>
      </c>
      <c r="P370" s="6">
        <v>292.39999999999998</v>
      </c>
      <c r="Q370" s="6">
        <v>72.87</v>
      </c>
    </row>
    <row r="371" spans="1:17" x14ac:dyDescent="0.3">
      <c r="A371" s="3">
        <v>370</v>
      </c>
      <c r="B371" s="3" t="s">
        <v>738</v>
      </c>
      <c r="C371" s="4">
        <v>45481</v>
      </c>
      <c r="D371" s="4">
        <v>45485</v>
      </c>
      <c r="E371" s="3" t="s">
        <v>37</v>
      </c>
      <c r="F371" s="3" t="s">
        <v>113</v>
      </c>
      <c r="G371" s="3" t="s">
        <v>30</v>
      </c>
      <c r="H371" s="3" t="s">
        <v>90</v>
      </c>
      <c r="I371" s="3" t="s">
        <v>169</v>
      </c>
      <c r="J371" s="3" t="s">
        <v>170</v>
      </c>
      <c r="K371" s="3" t="s">
        <v>25</v>
      </c>
      <c r="L371" s="3" t="s">
        <v>74</v>
      </c>
      <c r="M371" s="3" t="s">
        <v>75</v>
      </c>
      <c r="N371" s="3">
        <v>14</v>
      </c>
      <c r="O371" s="5">
        <v>0.2</v>
      </c>
      <c r="P371" s="6">
        <v>860.17</v>
      </c>
      <c r="Q371" s="6">
        <v>23.64</v>
      </c>
    </row>
    <row r="372" spans="1:17" x14ac:dyDescent="0.3">
      <c r="A372" s="3">
        <v>371</v>
      </c>
      <c r="B372" s="3" t="s">
        <v>739</v>
      </c>
      <c r="C372" s="4">
        <v>44332</v>
      </c>
      <c r="D372" s="4">
        <v>44334</v>
      </c>
      <c r="E372" s="3" t="s">
        <v>19</v>
      </c>
      <c r="F372" s="3" t="s">
        <v>740</v>
      </c>
      <c r="G372" s="3" t="s">
        <v>30</v>
      </c>
      <c r="H372" s="3" t="s">
        <v>22</v>
      </c>
      <c r="I372" s="3" t="s">
        <v>68</v>
      </c>
      <c r="J372" s="3" t="s">
        <v>69</v>
      </c>
      <c r="K372" s="3" t="s">
        <v>25</v>
      </c>
      <c r="L372" s="3" t="s">
        <v>106</v>
      </c>
      <c r="M372" s="3" t="s">
        <v>107</v>
      </c>
      <c r="N372" s="3">
        <v>5</v>
      </c>
      <c r="O372" s="5">
        <v>0.2</v>
      </c>
      <c r="P372" s="6">
        <v>475.67</v>
      </c>
      <c r="Q372" s="6">
        <v>161.81</v>
      </c>
    </row>
    <row r="373" spans="1:17" x14ac:dyDescent="0.3">
      <c r="A373" s="3">
        <v>372</v>
      </c>
      <c r="B373" s="3" t="s">
        <v>741</v>
      </c>
      <c r="C373" s="4">
        <v>44261</v>
      </c>
      <c r="D373" s="4">
        <v>44264</v>
      </c>
      <c r="E373" s="3" t="s">
        <v>19</v>
      </c>
      <c r="F373" s="3" t="s">
        <v>742</v>
      </c>
      <c r="G373" s="3" t="s">
        <v>30</v>
      </c>
      <c r="H373" s="3" t="s">
        <v>22</v>
      </c>
      <c r="I373" s="3" t="s">
        <v>72</v>
      </c>
      <c r="J373" s="3" t="s">
        <v>73</v>
      </c>
      <c r="K373" s="3" t="s">
        <v>25</v>
      </c>
      <c r="L373" s="3" t="s">
        <v>106</v>
      </c>
      <c r="M373" s="3" t="s">
        <v>136</v>
      </c>
      <c r="N373" s="3">
        <v>7</v>
      </c>
      <c r="O373" s="5">
        <v>0.1</v>
      </c>
      <c r="P373" s="6">
        <v>83.12</v>
      </c>
      <c r="Q373" s="6">
        <v>-2.25</v>
      </c>
    </row>
    <row r="374" spans="1:17" x14ac:dyDescent="0.3">
      <c r="A374" s="3">
        <v>373</v>
      </c>
      <c r="B374" s="3" t="s">
        <v>743</v>
      </c>
      <c r="C374" s="4">
        <v>45105</v>
      </c>
      <c r="D374" s="4">
        <v>45110</v>
      </c>
      <c r="E374" s="3" t="s">
        <v>19</v>
      </c>
      <c r="F374" s="3" t="s">
        <v>537</v>
      </c>
      <c r="G374" s="3" t="s">
        <v>30</v>
      </c>
      <c r="H374" s="3" t="s">
        <v>22</v>
      </c>
      <c r="I374" s="3" t="s">
        <v>72</v>
      </c>
      <c r="J374" s="3" t="s">
        <v>73</v>
      </c>
      <c r="K374" s="3" t="s">
        <v>58</v>
      </c>
      <c r="L374" s="3" t="s">
        <v>86</v>
      </c>
      <c r="M374" s="3" t="s">
        <v>87</v>
      </c>
      <c r="N374" s="3">
        <v>1</v>
      </c>
      <c r="O374" s="5">
        <v>0</v>
      </c>
      <c r="P374" s="6">
        <v>405.54</v>
      </c>
      <c r="Q374" s="6">
        <v>-55.1</v>
      </c>
    </row>
    <row r="375" spans="1:17" x14ac:dyDescent="0.3">
      <c r="A375" s="3">
        <v>374</v>
      </c>
      <c r="B375" s="3" t="s">
        <v>744</v>
      </c>
      <c r="C375" s="4">
        <v>44271</v>
      </c>
      <c r="D375" s="4">
        <v>44275</v>
      </c>
      <c r="E375" s="3" t="s">
        <v>56</v>
      </c>
      <c r="F375" s="3" t="s">
        <v>525</v>
      </c>
      <c r="G375" s="3" t="s">
        <v>30</v>
      </c>
      <c r="H375" s="3" t="s">
        <v>22</v>
      </c>
      <c r="I375" s="3" t="s">
        <v>31</v>
      </c>
      <c r="J375" s="3" t="s">
        <v>32</v>
      </c>
      <c r="K375" s="3" t="s">
        <v>25</v>
      </c>
      <c r="L375" s="3" t="s">
        <v>26</v>
      </c>
      <c r="M375" s="3" t="s">
        <v>27</v>
      </c>
      <c r="N375" s="3">
        <v>7</v>
      </c>
      <c r="O375" s="5">
        <v>0</v>
      </c>
      <c r="P375" s="6">
        <v>603.5</v>
      </c>
      <c r="Q375" s="6">
        <v>-149.38999999999999</v>
      </c>
    </row>
    <row r="376" spans="1:17" x14ac:dyDescent="0.3">
      <c r="A376" s="3">
        <v>375</v>
      </c>
      <c r="B376" s="3" t="s">
        <v>745</v>
      </c>
      <c r="C376" s="4">
        <v>44836</v>
      </c>
      <c r="D376" s="4">
        <v>44837</v>
      </c>
      <c r="E376" s="3" t="s">
        <v>37</v>
      </c>
      <c r="F376" s="3" t="s">
        <v>401</v>
      </c>
      <c r="G376" s="3" t="s">
        <v>39</v>
      </c>
      <c r="H376" s="3" t="s">
        <v>22</v>
      </c>
      <c r="I376" s="3" t="s">
        <v>23</v>
      </c>
      <c r="J376" s="3" t="s">
        <v>24</v>
      </c>
      <c r="K376" s="3" t="s">
        <v>25</v>
      </c>
      <c r="L376" s="3" t="s">
        <v>53</v>
      </c>
      <c r="M376" s="3" t="s">
        <v>171</v>
      </c>
      <c r="N376" s="3">
        <v>10</v>
      </c>
      <c r="O376" s="5">
        <v>0.1</v>
      </c>
      <c r="P376" s="6">
        <v>887.57</v>
      </c>
      <c r="Q376" s="6">
        <v>-51.01</v>
      </c>
    </row>
    <row r="377" spans="1:17" x14ac:dyDescent="0.3">
      <c r="A377" s="3">
        <v>376</v>
      </c>
      <c r="B377" s="3" t="s">
        <v>746</v>
      </c>
      <c r="C377" s="4">
        <v>44431</v>
      </c>
      <c r="D377" s="4">
        <v>44432</v>
      </c>
      <c r="E377" s="3" t="s">
        <v>19</v>
      </c>
      <c r="F377" s="3" t="s">
        <v>362</v>
      </c>
      <c r="G377" s="3" t="s">
        <v>30</v>
      </c>
      <c r="H377" s="3" t="s">
        <v>90</v>
      </c>
      <c r="I377" s="3" t="s">
        <v>169</v>
      </c>
      <c r="J377" s="3" t="s">
        <v>170</v>
      </c>
      <c r="K377" s="3" t="s">
        <v>25</v>
      </c>
      <c r="L377" s="3" t="s">
        <v>26</v>
      </c>
      <c r="M377" s="3" t="s">
        <v>259</v>
      </c>
      <c r="N377" s="3">
        <v>10</v>
      </c>
      <c r="O377" s="5">
        <v>0</v>
      </c>
      <c r="P377" s="6">
        <v>680.36</v>
      </c>
      <c r="Q377" s="6">
        <v>-85.76</v>
      </c>
    </row>
    <row r="378" spans="1:17" x14ac:dyDescent="0.3">
      <c r="A378" s="3">
        <v>377</v>
      </c>
      <c r="B378" s="3" t="s">
        <v>747</v>
      </c>
      <c r="C378" s="4">
        <v>45452</v>
      </c>
      <c r="D378" s="4">
        <v>45455</v>
      </c>
      <c r="E378" s="3" t="s">
        <v>62</v>
      </c>
      <c r="F378" s="3" t="s">
        <v>748</v>
      </c>
      <c r="G378" s="3" t="s">
        <v>21</v>
      </c>
      <c r="H378" s="3" t="s">
        <v>46</v>
      </c>
      <c r="I378" s="3" t="s">
        <v>47</v>
      </c>
      <c r="J378" s="3" t="s">
        <v>48</v>
      </c>
      <c r="K378" s="3" t="s">
        <v>25</v>
      </c>
      <c r="L378" s="3" t="s">
        <v>116</v>
      </c>
      <c r="M378" s="3" t="s">
        <v>166</v>
      </c>
      <c r="N378" s="3">
        <v>9</v>
      </c>
      <c r="O378" s="5">
        <v>0</v>
      </c>
      <c r="P378" s="6">
        <v>489.15</v>
      </c>
      <c r="Q378" s="6">
        <v>-113.78</v>
      </c>
    </row>
    <row r="379" spans="1:17" x14ac:dyDescent="0.3">
      <c r="A379" s="3">
        <v>378</v>
      </c>
      <c r="B379" s="3" t="s">
        <v>749</v>
      </c>
      <c r="C379" s="4">
        <v>44836</v>
      </c>
      <c r="D379" s="4">
        <v>44839</v>
      </c>
      <c r="E379" s="3" t="s">
        <v>56</v>
      </c>
      <c r="F379" s="3" t="s">
        <v>618</v>
      </c>
      <c r="G379" s="3" t="s">
        <v>21</v>
      </c>
      <c r="H379" s="3" t="s">
        <v>90</v>
      </c>
      <c r="I379" s="3" t="s">
        <v>110</v>
      </c>
      <c r="J379" s="3" t="s">
        <v>111</v>
      </c>
      <c r="K379" s="3" t="s">
        <v>33</v>
      </c>
      <c r="L379" s="3" t="s">
        <v>34</v>
      </c>
      <c r="M379" s="3" t="s">
        <v>254</v>
      </c>
      <c r="N379" s="3">
        <v>14</v>
      </c>
      <c r="O379" s="5">
        <v>0</v>
      </c>
      <c r="P379" s="6">
        <v>2222.4899999999998</v>
      </c>
      <c r="Q379" s="6">
        <v>742.78</v>
      </c>
    </row>
    <row r="380" spans="1:17" x14ac:dyDescent="0.3">
      <c r="A380" s="3">
        <v>379</v>
      </c>
      <c r="B380" s="3" t="s">
        <v>750</v>
      </c>
      <c r="C380" s="4">
        <v>45150</v>
      </c>
      <c r="D380" s="4">
        <v>45154</v>
      </c>
      <c r="E380" s="3" t="s">
        <v>37</v>
      </c>
      <c r="F380" s="3" t="s">
        <v>353</v>
      </c>
      <c r="G380" s="3" t="s">
        <v>21</v>
      </c>
      <c r="H380" s="3" t="s">
        <v>22</v>
      </c>
      <c r="I380" s="3" t="s">
        <v>84</v>
      </c>
      <c r="J380" s="3" t="s">
        <v>85</v>
      </c>
      <c r="K380" s="3" t="s">
        <v>25</v>
      </c>
      <c r="L380" s="3" t="s">
        <v>53</v>
      </c>
      <c r="M380" s="3" t="s">
        <v>171</v>
      </c>
      <c r="N380" s="3">
        <v>4</v>
      </c>
      <c r="O380" s="5">
        <v>0</v>
      </c>
      <c r="P380" s="6">
        <v>455.2</v>
      </c>
      <c r="Q380" s="6">
        <v>121.38</v>
      </c>
    </row>
    <row r="381" spans="1:17" x14ac:dyDescent="0.3">
      <c r="A381" s="3">
        <v>380</v>
      </c>
      <c r="B381" s="3" t="s">
        <v>751</v>
      </c>
      <c r="C381" s="4">
        <v>44428</v>
      </c>
      <c r="D381" s="4">
        <v>44431</v>
      </c>
      <c r="E381" s="3" t="s">
        <v>62</v>
      </c>
      <c r="F381" s="3" t="s">
        <v>752</v>
      </c>
      <c r="G381" s="3" t="s">
        <v>21</v>
      </c>
      <c r="H381" s="3" t="s">
        <v>46</v>
      </c>
      <c r="I381" s="3" t="s">
        <v>146</v>
      </c>
      <c r="J381" s="3" t="s">
        <v>147</v>
      </c>
      <c r="K381" s="3" t="s">
        <v>25</v>
      </c>
      <c r="L381" s="3" t="s">
        <v>116</v>
      </c>
      <c r="M381" s="3" t="s">
        <v>166</v>
      </c>
      <c r="N381" s="3">
        <v>8</v>
      </c>
      <c r="O381" s="5">
        <v>0</v>
      </c>
      <c r="P381" s="6">
        <v>451.41</v>
      </c>
      <c r="Q381" s="6">
        <v>-36.4</v>
      </c>
    </row>
    <row r="382" spans="1:17" x14ac:dyDescent="0.3">
      <c r="A382" s="3">
        <v>381</v>
      </c>
      <c r="B382" s="3" t="s">
        <v>753</v>
      </c>
      <c r="C382" s="4">
        <v>44815</v>
      </c>
      <c r="D382" s="4">
        <v>44820</v>
      </c>
      <c r="E382" s="3" t="s">
        <v>56</v>
      </c>
      <c r="F382" s="3" t="s">
        <v>443</v>
      </c>
      <c r="G382" s="3" t="s">
        <v>30</v>
      </c>
      <c r="H382" s="3" t="s">
        <v>90</v>
      </c>
      <c r="I382" s="3" t="s">
        <v>169</v>
      </c>
      <c r="J382" s="3" t="s">
        <v>170</v>
      </c>
      <c r="K382" s="3" t="s">
        <v>25</v>
      </c>
      <c r="L382" s="3" t="s">
        <v>53</v>
      </c>
      <c r="M382" s="3" t="s">
        <v>139</v>
      </c>
      <c r="N382" s="3">
        <v>8</v>
      </c>
      <c r="O382" s="5">
        <v>0.3</v>
      </c>
      <c r="P382" s="6">
        <v>358.88</v>
      </c>
      <c r="Q382" s="6">
        <v>-38.35</v>
      </c>
    </row>
    <row r="383" spans="1:17" x14ac:dyDescent="0.3">
      <c r="A383" s="3">
        <v>382</v>
      </c>
      <c r="B383" s="3" t="s">
        <v>754</v>
      </c>
      <c r="C383" s="4">
        <v>45358</v>
      </c>
      <c r="D383" s="4">
        <v>45365</v>
      </c>
      <c r="E383" s="3" t="s">
        <v>56</v>
      </c>
      <c r="F383" s="3" t="s">
        <v>558</v>
      </c>
      <c r="G383" s="3" t="s">
        <v>21</v>
      </c>
      <c r="H383" s="3" t="s">
        <v>22</v>
      </c>
      <c r="I383" s="3" t="s">
        <v>72</v>
      </c>
      <c r="J383" s="3" t="s">
        <v>73</v>
      </c>
      <c r="K383" s="3" t="s">
        <v>33</v>
      </c>
      <c r="L383" s="3" t="s">
        <v>34</v>
      </c>
      <c r="M383" s="3" t="s">
        <v>597</v>
      </c>
      <c r="N383" s="3">
        <v>6</v>
      </c>
      <c r="O383" s="5">
        <v>0.1</v>
      </c>
      <c r="P383" s="6">
        <v>2284.67</v>
      </c>
      <c r="Q383" s="6">
        <v>-333.9</v>
      </c>
    </row>
    <row r="384" spans="1:17" x14ac:dyDescent="0.3">
      <c r="A384" s="3">
        <v>383</v>
      </c>
      <c r="B384" s="3" t="s">
        <v>755</v>
      </c>
      <c r="C384" s="4">
        <v>44827</v>
      </c>
      <c r="D384" s="4">
        <v>44831</v>
      </c>
      <c r="E384" s="3" t="s">
        <v>62</v>
      </c>
      <c r="F384" s="3" t="s">
        <v>756</v>
      </c>
      <c r="G384" s="3" t="s">
        <v>21</v>
      </c>
      <c r="H384" s="3" t="s">
        <v>46</v>
      </c>
      <c r="I384" s="3" t="s">
        <v>47</v>
      </c>
      <c r="J384" s="3" t="s">
        <v>48</v>
      </c>
      <c r="K384" s="3" t="s">
        <v>33</v>
      </c>
      <c r="L384" s="3" t="s">
        <v>34</v>
      </c>
      <c r="M384" s="3" t="s">
        <v>35</v>
      </c>
      <c r="N384" s="3">
        <v>2</v>
      </c>
      <c r="O384" s="5">
        <v>0.3</v>
      </c>
      <c r="P384" s="6">
        <v>780.46</v>
      </c>
      <c r="Q384" s="6">
        <v>-41.8</v>
      </c>
    </row>
    <row r="385" spans="1:17" x14ac:dyDescent="0.3">
      <c r="A385" s="3">
        <v>384</v>
      </c>
      <c r="B385" s="3" t="s">
        <v>757</v>
      </c>
      <c r="C385" s="4">
        <v>45457</v>
      </c>
      <c r="D385" s="4">
        <v>45462</v>
      </c>
      <c r="E385" s="3" t="s">
        <v>62</v>
      </c>
      <c r="F385" s="3" t="s">
        <v>182</v>
      </c>
      <c r="G385" s="3" t="s">
        <v>21</v>
      </c>
      <c r="H385" s="3" t="s">
        <v>40</v>
      </c>
      <c r="I385" s="3" t="s">
        <v>114</v>
      </c>
      <c r="J385" s="3" t="s">
        <v>115</v>
      </c>
      <c r="K385" s="3" t="s">
        <v>25</v>
      </c>
      <c r="L385" s="3" t="s">
        <v>106</v>
      </c>
      <c r="M385" s="3" t="s">
        <v>107</v>
      </c>
      <c r="N385" s="3">
        <v>8</v>
      </c>
      <c r="O385" s="5">
        <v>0.2</v>
      </c>
      <c r="P385" s="6">
        <v>188.67</v>
      </c>
      <c r="Q385" s="6">
        <v>-13.24</v>
      </c>
    </row>
    <row r="386" spans="1:17" x14ac:dyDescent="0.3">
      <c r="A386" s="3">
        <v>385</v>
      </c>
      <c r="B386" s="3" t="s">
        <v>758</v>
      </c>
      <c r="C386" s="4">
        <v>45321</v>
      </c>
      <c r="D386" s="4">
        <v>45322</v>
      </c>
      <c r="E386" s="3" t="s">
        <v>56</v>
      </c>
      <c r="F386" s="3" t="s">
        <v>759</v>
      </c>
      <c r="G386" s="3" t="s">
        <v>30</v>
      </c>
      <c r="H386" s="3" t="s">
        <v>90</v>
      </c>
      <c r="I386" s="3" t="s">
        <v>104</v>
      </c>
      <c r="J386" s="3" t="s">
        <v>105</v>
      </c>
      <c r="K386" s="3" t="s">
        <v>58</v>
      </c>
      <c r="L386" s="3" t="s">
        <v>59</v>
      </c>
      <c r="M386" s="3" t="s">
        <v>220</v>
      </c>
      <c r="N386" s="3">
        <v>1</v>
      </c>
      <c r="O386" s="5">
        <v>0.2</v>
      </c>
      <c r="P386" s="6">
        <v>338.94</v>
      </c>
      <c r="Q386" s="6">
        <v>-62.43</v>
      </c>
    </row>
    <row r="387" spans="1:17" x14ac:dyDescent="0.3">
      <c r="A387" s="3">
        <v>386</v>
      </c>
      <c r="B387" s="3" t="s">
        <v>760</v>
      </c>
      <c r="C387" s="4">
        <v>44629</v>
      </c>
      <c r="D387" s="4">
        <v>44635</v>
      </c>
      <c r="E387" s="3" t="s">
        <v>19</v>
      </c>
      <c r="F387" s="3" t="s">
        <v>549</v>
      </c>
      <c r="G387" s="3" t="s">
        <v>30</v>
      </c>
      <c r="H387" s="3" t="s">
        <v>46</v>
      </c>
      <c r="I387" s="3" t="s">
        <v>146</v>
      </c>
      <c r="J387" s="3" t="s">
        <v>147</v>
      </c>
      <c r="K387" s="3" t="s">
        <v>25</v>
      </c>
      <c r="L387" s="3" t="s">
        <v>74</v>
      </c>
      <c r="M387" s="3" t="s">
        <v>101</v>
      </c>
      <c r="N387" s="3">
        <v>3</v>
      </c>
      <c r="O387" s="5">
        <v>0.1</v>
      </c>
      <c r="P387" s="6">
        <v>168.88</v>
      </c>
      <c r="Q387" s="6">
        <v>14.06</v>
      </c>
    </row>
    <row r="388" spans="1:17" x14ac:dyDescent="0.3">
      <c r="A388" s="3">
        <v>387</v>
      </c>
      <c r="B388" s="3" t="s">
        <v>761</v>
      </c>
      <c r="C388" s="4">
        <v>45193</v>
      </c>
      <c r="D388" s="4">
        <v>45199</v>
      </c>
      <c r="E388" s="3" t="s">
        <v>19</v>
      </c>
      <c r="F388" s="3" t="s">
        <v>620</v>
      </c>
      <c r="G388" s="3" t="s">
        <v>30</v>
      </c>
      <c r="H388" s="3" t="s">
        <v>40</v>
      </c>
      <c r="I388" s="3" t="s">
        <v>158</v>
      </c>
      <c r="J388" s="3" t="s">
        <v>159</v>
      </c>
      <c r="K388" s="3" t="s">
        <v>33</v>
      </c>
      <c r="L388" s="3" t="s">
        <v>49</v>
      </c>
      <c r="M388" s="3" t="s">
        <v>208</v>
      </c>
      <c r="N388" s="3">
        <v>7</v>
      </c>
      <c r="O388" s="5">
        <v>0</v>
      </c>
      <c r="P388" s="6">
        <v>4781.76</v>
      </c>
      <c r="Q388" s="6">
        <v>-952.54</v>
      </c>
    </row>
    <row r="389" spans="1:17" x14ac:dyDescent="0.3">
      <c r="A389" s="3">
        <v>388</v>
      </c>
      <c r="B389" s="3" t="s">
        <v>762</v>
      </c>
      <c r="C389" s="4">
        <v>44924</v>
      </c>
      <c r="D389" s="4">
        <v>44926</v>
      </c>
      <c r="E389" s="3" t="s">
        <v>37</v>
      </c>
      <c r="F389" s="3" t="s">
        <v>763</v>
      </c>
      <c r="G389" s="3" t="s">
        <v>30</v>
      </c>
      <c r="H389" s="3" t="s">
        <v>90</v>
      </c>
      <c r="I389" s="3" t="s">
        <v>91</v>
      </c>
      <c r="J389" s="3" t="s">
        <v>92</v>
      </c>
      <c r="K389" s="3" t="s">
        <v>25</v>
      </c>
      <c r="L389" s="3" t="s">
        <v>74</v>
      </c>
      <c r="M389" s="3" t="s">
        <v>180</v>
      </c>
      <c r="N389" s="3">
        <v>3</v>
      </c>
      <c r="O389" s="5">
        <v>0</v>
      </c>
      <c r="P389" s="6">
        <v>156.37</v>
      </c>
      <c r="Q389" s="6">
        <v>15.13</v>
      </c>
    </row>
    <row r="390" spans="1:17" x14ac:dyDescent="0.3">
      <c r="A390" s="3">
        <v>389</v>
      </c>
      <c r="B390" s="3" t="s">
        <v>764</v>
      </c>
      <c r="C390" s="4">
        <v>44428</v>
      </c>
      <c r="D390" s="4">
        <v>44433</v>
      </c>
      <c r="E390" s="3" t="s">
        <v>62</v>
      </c>
      <c r="F390" s="3" t="s">
        <v>271</v>
      </c>
      <c r="G390" s="3" t="s">
        <v>21</v>
      </c>
      <c r="H390" s="3" t="s">
        <v>22</v>
      </c>
      <c r="I390" s="3" t="s">
        <v>23</v>
      </c>
      <c r="J390" s="3" t="s">
        <v>24</v>
      </c>
      <c r="K390" s="3" t="s">
        <v>25</v>
      </c>
      <c r="L390" s="3" t="s">
        <v>53</v>
      </c>
      <c r="M390" s="3" t="s">
        <v>54</v>
      </c>
      <c r="N390" s="3">
        <v>8</v>
      </c>
      <c r="O390" s="5">
        <v>0</v>
      </c>
      <c r="P390" s="6">
        <v>923.88</v>
      </c>
      <c r="Q390" s="6">
        <v>-152.21</v>
      </c>
    </row>
    <row r="391" spans="1:17" x14ac:dyDescent="0.3">
      <c r="A391" s="3">
        <v>390</v>
      </c>
      <c r="B391" s="3" t="s">
        <v>765</v>
      </c>
      <c r="C391" s="4">
        <v>44356</v>
      </c>
      <c r="D391" s="4">
        <v>44362</v>
      </c>
      <c r="E391" s="3" t="s">
        <v>56</v>
      </c>
      <c r="F391" s="3" t="s">
        <v>493</v>
      </c>
      <c r="G391" s="3" t="s">
        <v>30</v>
      </c>
      <c r="H391" s="3" t="s">
        <v>40</v>
      </c>
      <c r="I391" s="3" t="s">
        <v>185</v>
      </c>
      <c r="J391" s="3" t="s">
        <v>186</v>
      </c>
      <c r="K391" s="3" t="s">
        <v>25</v>
      </c>
      <c r="L391" s="3" t="s">
        <v>53</v>
      </c>
      <c r="M391" s="3" t="s">
        <v>171</v>
      </c>
      <c r="N391" s="3">
        <v>11</v>
      </c>
      <c r="O391" s="5">
        <v>0.15</v>
      </c>
      <c r="P391" s="6">
        <v>689.39</v>
      </c>
      <c r="Q391" s="6">
        <v>81.23</v>
      </c>
    </row>
    <row r="392" spans="1:17" x14ac:dyDescent="0.3">
      <c r="A392" s="3">
        <v>391</v>
      </c>
      <c r="B392" s="3" t="s">
        <v>766</v>
      </c>
      <c r="C392" s="4">
        <v>44800</v>
      </c>
      <c r="D392" s="4">
        <v>44803</v>
      </c>
      <c r="E392" s="3" t="s">
        <v>19</v>
      </c>
      <c r="F392" s="3" t="s">
        <v>767</v>
      </c>
      <c r="G392" s="3" t="s">
        <v>39</v>
      </c>
      <c r="H392" s="3" t="s">
        <v>90</v>
      </c>
      <c r="I392" s="3" t="s">
        <v>91</v>
      </c>
      <c r="J392" s="3" t="s">
        <v>92</v>
      </c>
      <c r="K392" s="3" t="s">
        <v>25</v>
      </c>
      <c r="L392" s="3" t="s">
        <v>74</v>
      </c>
      <c r="M392" s="3" t="s">
        <v>180</v>
      </c>
      <c r="N392" s="3">
        <v>3</v>
      </c>
      <c r="O392" s="5">
        <v>0.15</v>
      </c>
      <c r="P392" s="6">
        <v>17.670000000000002</v>
      </c>
      <c r="Q392" s="6">
        <v>3.29</v>
      </c>
    </row>
    <row r="393" spans="1:17" x14ac:dyDescent="0.3">
      <c r="A393" s="3">
        <v>392</v>
      </c>
      <c r="B393" s="3" t="s">
        <v>768</v>
      </c>
      <c r="C393" s="4">
        <v>45189</v>
      </c>
      <c r="D393" s="4">
        <v>45190</v>
      </c>
      <c r="E393" s="3" t="s">
        <v>62</v>
      </c>
      <c r="F393" s="3" t="s">
        <v>334</v>
      </c>
      <c r="G393" s="3" t="s">
        <v>21</v>
      </c>
      <c r="H393" s="3" t="s">
        <v>22</v>
      </c>
      <c r="I393" s="3" t="s">
        <v>72</v>
      </c>
      <c r="J393" s="3" t="s">
        <v>73</v>
      </c>
      <c r="K393" s="3" t="s">
        <v>58</v>
      </c>
      <c r="L393" s="3" t="s">
        <v>59</v>
      </c>
      <c r="M393" s="3" t="s">
        <v>220</v>
      </c>
      <c r="N393" s="3">
        <v>3</v>
      </c>
      <c r="O393" s="5">
        <v>0.15</v>
      </c>
      <c r="P393" s="6">
        <v>766.76</v>
      </c>
      <c r="Q393" s="6">
        <v>-75.73</v>
      </c>
    </row>
    <row r="394" spans="1:17" x14ac:dyDescent="0.3">
      <c r="A394" s="3">
        <v>393</v>
      </c>
      <c r="B394" s="3" t="s">
        <v>769</v>
      </c>
      <c r="C394" s="4">
        <v>44954</v>
      </c>
      <c r="D394" s="4">
        <v>44961</v>
      </c>
      <c r="E394" s="3" t="s">
        <v>19</v>
      </c>
      <c r="F394" s="3" t="s">
        <v>770</v>
      </c>
      <c r="G394" s="3" t="s">
        <v>21</v>
      </c>
      <c r="H394" s="3" t="s">
        <v>40</v>
      </c>
      <c r="I394" s="3" t="s">
        <v>223</v>
      </c>
      <c r="J394" s="3" t="s">
        <v>224</v>
      </c>
      <c r="K394" s="3" t="s">
        <v>25</v>
      </c>
      <c r="L394" s="3" t="s">
        <v>53</v>
      </c>
      <c r="M394" s="3" t="s">
        <v>54</v>
      </c>
      <c r="N394" s="3">
        <v>3</v>
      </c>
      <c r="O394" s="5">
        <v>0.1</v>
      </c>
      <c r="P394" s="6">
        <v>95.53</v>
      </c>
      <c r="Q394" s="6">
        <v>3.91</v>
      </c>
    </row>
    <row r="395" spans="1:17" x14ac:dyDescent="0.3">
      <c r="A395" s="3">
        <v>394</v>
      </c>
      <c r="B395" s="3" t="s">
        <v>771</v>
      </c>
      <c r="C395" s="4">
        <v>45098</v>
      </c>
      <c r="D395" s="4">
        <v>45104</v>
      </c>
      <c r="E395" s="3" t="s">
        <v>56</v>
      </c>
      <c r="F395" s="3" t="s">
        <v>245</v>
      </c>
      <c r="G395" s="3" t="s">
        <v>21</v>
      </c>
      <c r="H395" s="3" t="s">
        <v>90</v>
      </c>
      <c r="I395" s="3" t="s">
        <v>110</v>
      </c>
      <c r="J395" s="3" t="s">
        <v>111</v>
      </c>
      <c r="K395" s="3" t="s">
        <v>58</v>
      </c>
      <c r="L395" s="3" t="s">
        <v>86</v>
      </c>
      <c r="M395" s="3" t="s">
        <v>133</v>
      </c>
      <c r="N395" s="3">
        <v>11</v>
      </c>
      <c r="O395" s="5">
        <v>0.2</v>
      </c>
      <c r="P395" s="6">
        <v>1123.1600000000001</v>
      </c>
      <c r="Q395" s="6">
        <v>-244.18</v>
      </c>
    </row>
    <row r="396" spans="1:17" x14ac:dyDescent="0.3">
      <c r="A396" s="3">
        <v>395</v>
      </c>
      <c r="B396" s="3" t="s">
        <v>772</v>
      </c>
      <c r="C396" s="4">
        <v>44675</v>
      </c>
      <c r="D396" s="4">
        <v>44679</v>
      </c>
      <c r="E396" s="3" t="s">
        <v>56</v>
      </c>
      <c r="F396" s="3" t="s">
        <v>690</v>
      </c>
      <c r="G396" s="3" t="s">
        <v>30</v>
      </c>
      <c r="H396" s="3" t="s">
        <v>90</v>
      </c>
      <c r="I396" s="3" t="s">
        <v>110</v>
      </c>
      <c r="J396" s="3" t="s">
        <v>111</v>
      </c>
      <c r="K396" s="3" t="s">
        <v>25</v>
      </c>
      <c r="L396" s="3" t="s">
        <v>53</v>
      </c>
      <c r="M396" s="3" t="s">
        <v>171</v>
      </c>
      <c r="N396" s="3">
        <v>11</v>
      </c>
      <c r="O396" s="5">
        <v>0.4</v>
      </c>
      <c r="P396" s="6">
        <v>825.33</v>
      </c>
      <c r="Q396" s="6">
        <v>-76.28</v>
      </c>
    </row>
    <row r="397" spans="1:17" x14ac:dyDescent="0.3">
      <c r="A397" s="3">
        <v>396</v>
      </c>
      <c r="B397" s="3" t="s">
        <v>773</v>
      </c>
      <c r="C397" s="4">
        <v>45285</v>
      </c>
      <c r="D397" s="4">
        <v>45291</v>
      </c>
      <c r="E397" s="3" t="s">
        <v>62</v>
      </c>
      <c r="F397" s="3" t="s">
        <v>188</v>
      </c>
      <c r="G397" s="3" t="s">
        <v>30</v>
      </c>
      <c r="H397" s="3" t="s">
        <v>46</v>
      </c>
      <c r="I397" s="3" t="s">
        <v>47</v>
      </c>
      <c r="J397" s="3" t="s">
        <v>48</v>
      </c>
      <c r="K397" s="3" t="s">
        <v>25</v>
      </c>
      <c r="L397" s="3" t="s">
        <v>116</v>
      </c>
      <c r="M397" s="3" t="s">
        <v>202</v>
      </c>
      <c r="N397" s="3">
        <v>6</v>
      </c>
      <c r="O397" s="5">
        <v>0.3</v>
      </c>
      <c r="P397" s="6">
        <v>626.97</v>
      </c>
      <c r="Q397" s="6">
        <v>72.91</v>
      </c>
    </row>
    <row r="398" spans="1:17" x14ac:dyDescent="0.3">
      <c r="A398" s="3">
        <v>397</v>
      </c>
      <c r="B398" s="3" t="s">
        <v>774</v>
      </c>
      <c r="C398" s="4">
        <v>44692</v>
      </c>
      <c r="D398" s="4">
        <v>44698</v>
      </c>
      <c r="E398" s="3" t="s">
        <v>62</v>
      </c>
      <c r="F398" s="3" t="s">
        <v>775</v>
      </c>
      <c r="G398" s="3" t="s">
        <v>21</v>
      </c>
      <c r="H398" s="3" t="s">
        <v>46</v>
      </c>
      <c r="I398" s="3" t="s">
        <v>47</v>
      </c>
      <c r="J398" s="3" t="s">
        <v>48</v>
      </c>
      <c r="K398" s="3" t="s">
        <v>25</v>
      </c>
      <c r="L398" s="3" t="s">
        <v>53</v>
      </c>
      <c r="M398" s="3" t="s">
        <v>171</v>
      </c>
      <c r="N398" s="3">
        <v>11</v>
      </c>
      <c r="O398" s="5">
        <v>0.1</v>
      </c>
      <c r="P398" s="6">
        <v>762.58</v>
      </c>
      <c r="Q398" s="6">
        <v>47.26</v>
      </c>
    </row>
    <row r="399" spans="1:17" x14ac:dyDescent="0.3">
      <c r="A399" s="3">
        <v>398</v>
      </c>
      <c r="B399" s="3" t="s">
        <v>776</v>
      </c>
      <c r="C399" s="4">
        <v>45600</v>
      </c>
      <c r="D399" s="4">
        <v>45604</v>
      </c>
      <c r="E399" s="3" t="s">
        <v>62</v>
      </c>
      <c r="F399" s="3" t="s">
        <v>777</v>
      </c>
      <c r="G399" s="3" t="s">
        <v>21</v>
      </c>
      <c r="H399" s="3" t="s">
        <v>22</v>
      </c>
      <c r="I399" s="3" t="s">
        <v>23</v>
      </c>
      <c r="J399" s="3" t="s">
        <v>24</v>
      </c>
      <c r="K399" s="3" t="s">
        <v>25</v>
      </c>
      <c r="L399" s="3" t="s">
        <v>80</v>
      </c>
      <c r="M399" s="3" t="s">
        <v>81</v>
      </c>
      <c r="N399" s="3">
        <v>6</v>
      </c>
      <c r="O399" s="5">
        <v>0.15</v>
      </c>
      <c r="P399" s="6">
        <v>159.82</v>
      </c>
      <c r="Q399" s="6">
        <v>-15.8</v>
      </c>
    </row>
    <row r="400" spans="1:17" x14ac:dyDescent="0.3">
      <c r="A400" s="3">
        <v>399</v>
      </c>
      <c r="B400" s="3" t="s">
        <v>778</v>
      </c>
      <c r="C400" s="4">
        <v>44373</v>
      </c>
      <c r="D400" s="4">
        <v>44380</v>
      </c>
      <c r="E400" s="3" t="s">
        <v>62</v>
      </c>
      <c r="F400" s="3" t="s">
        <v>779</v>
      </c>
      <c r="G400" s="3" t="s">
        <v>30</v>
      </c>
      <c r="H400" s="3" t="s">
        <v>40</v>
      </c>
      <c r="I400" s="3" t="s">
        <v>223</v>
      </c>
      <c r="J400" s="3" t="s">
        <v>224</v>
      </c>
      <c r="K400" s="3" t="s">
        <v>25</v>
      </c>
      <c r="L400" s="3" t="s">
        <v>53</v>
      </c>
      <c r="M400" s="3" t="s">
        <v>139</v>
      </c>
      <c r="N400" s="3">
        <v>10</v>
      </c>
      <c r="O400" s="5">
        <v>0</v>
      </c>
      <c r="P400" s="6">
        <v>173.29</v>
      </c>
      <c r="Q400" s="6">
        <v>49.84</v>
      </c>
    </row>
    <row r="401" spans="1:17" x14ac:dyDescent="0.3">
      <c r="A401" s="3">
        <v>400</v>
      </c>
      <c r="B401" s="3" t="s">
        <v>780</v>
      </c>
      <c r="C401" s="4">
        <v>44859</v>
      </c>
      <c r="D401" s="4">
        <v>44862</v>
      </c>
      <c r="E401" s="3" t="s">
        <v>37</v>
      </c>
      <c r="F401" s="3" t="s">
        <v>781</v>
      </c>
      <c r="G401" s="3" t="s">
        <v>21</v>
      </c>
      <c r="H401" s="3" t="s">
        <v>90</v>
      </c>
      <c r="I401" s="3" t="s">
        <v>99</v>
      </c>
      <c r="J401" s="3" t="s">
        <v>100</v>
      </c>
      <c r="K401" s="3" t="s">
        <v>25</v>
      </c>
      <c r="L401" s="3" t="s">
        <v>53</v>
      </c>
      <c r="M401" s="3" t="s">
        <v>171</v>
      </c>
      <c r="N401" s="3">
        <v>3</v>
      </c>
      <c r="O401" s="5">
        <v>0.15</v>
      </c>
      <c r="P401" s="6">
        <v>269.67</v>
      </c>
      <c r="Q401" s="6">
        <v>58.32</v>
      </c>
    </row>
    <row r="402" spans="1:17" x14ac:dyDescent="0.3">
      <c r="A402" s="3">
        <v>401</v>
      </c>
      <c r="B402" s="3" t="s">
        <v>782</v>
      </c>
      <c r="C402" s="4">
        <v>45446</v>
      </c>
      <c r="D402" s="4">
        <v>45450</v>
      </c>
      <c r="E402" s="3" t="s">
        <v>62</v>
      </c>
      <c r="F402" s="3" t="s">
        <v>783</v>
      </c>
      <c r="G402" s="3" t="s">
        <v>39</v>
      </c>
      <c r="H402" s="3" t="s">
        <v>46</v>
      </c>
      <c r="I402" s="3" t="s">
        <v>78</v>
      </c>
      <c r="J402" s="3" t="s">
        <v>79</v>
      </c>
      <c r="K402" s="3" t="s">
        <v>25</v>
      </c>
      <c r="L402" s="3" t="s">
        <v>74</v>
      </c>
      <c r="M402" s="3" t="s">
        <v>75</v>
      </c>
      <c r="N402" s="3">
        <v>3</v>
      </c>
      <c r="O402" s="5">
        <v>0</v>
      </c>
      <c r="P402" s="6">
        <v>234.5</v>
      </c>
      <c r="Q402" s="6">
        <v>-38.380000000000003</v>
      </c>
    </row>
    <row r="403" spans="1:17" x14ac:dyDescent="0.3">
      <c r="A403" s="3">
        <v>402</v>
      </c>
      <c r="B403" s="3" t="s">
        <v>784</v>
      </c>
      <c r="C403" s="4">
        <v>45367</v>
      </c>
      <c r="D403" s="4">
        <v>45373</v>
      </c>
      <c r="E403" s="3" t="s">
        <v>56</v>
      </c>
      <c r="F403" s="3" t="s">
        <v>785</v>
      </c>
      <c r="G403" s="3" t="s">
        <v>39</v>
      </c>
      <c r="H403" s="3" t="s">
        <v>90</v>
      </c>
      <c r="I403" s="3" t="s">
        <v>99</v>
      </c>
      <c r="J403" s="3" t="s">
        <v>100</v>
      </c>
      <c r="K403" s="3" t="s">
        <v>33</v>
      </c>
      <c r="L403" s="3" t="s">
        <v>49</v>
      </c>
      <c r="M403" s="3" t="s">
        <v>50</v>
      </c>
      <c r="N403" s="3">
        <v>5</v>
      </c>
      <c r="O403" s="5">
        <v>0</v>
      </c>
      <c r="P403" s="6">
        <v>2748.18</v>
      </c>
      <c r="Q403" s="6">
        <v>791.22</v>
      </c>
    </row>
    <row r="404" spans="1:17" x14ac:dyDescent="0.3">
      <c r="A404" s="3">
        <v>403</v>
      </c>
      <c r="B404" s="3" t="s">
        <v>786</v>
      </c>
      <c r="C404" s="4">
        <v>44204</v>
      </c>
      <c r="D404" s="4">
        <v>44209</v>
      </c>
      <c r="E404" s="3" t="s">
        <v>62</v>
      </c>
      <c r="F404" s="3" t="s">
        <v>261</v>
      </c>
      <c r="G404" s="3" t="s">
        <v>21</v>
      </c>
      <c r="H404" s="3" t="s">
        <v>46</v>
      </c>
      <c r="I404" s="3" t="s">
        <v>78</v>
      </c>
      <c r="J404" s="3" t="s">
        <v>79</v>
      </c>
      <c r="K404" s="3" t="s">
        <v>25</v>
      </c>
      <c r="L404" s="3" t="s">
        <v>74</v>
      </c>
      <c r="M404" s="3" t="s">
        <v>101</v>
      </c>
      <c r="N404" s="3">
        <v>12</v>
      </c>
      <c r="O404" s="5">
        <v>0.4</v>
      </c>
      <c r="P404" s="6">
        <v>1192.32</v>
      </c>
      <c r="Q404" s="6">
        <v>43.98</v>
      </c>
    </row>
    <row r="405" spans="1:17" x14ac:dyDescent="0.3">
      <c r="A405" s="3">
        <v>404</v>
      </c>
      <c r="B405" s="3" t="s">
        <v>787</v>
      </c>
      <c r="C405" s="4">
        <v>45593</v>
      </c>
      <c r="D405" s="4">
        <v>45596</v>
      </c>
      <c r="E405" s="3" t="s">
        <v>19</v>
      </c>
      <c r="F405" s="3" t="s">
        <v>567</v>
      </c>
      <c r="G405" s="3" t="s">
        <v>30</v>
      </c>
      <c r="H405" s="3" t="s">
        <v>90</v>
      </c>
      <c r="I405" s="3" t="s">
        <v>110</v>
      </c>
      <c r="J405" s="3" t="s">
        <v>111</v>
      </c>
      <c r="K405" s="3" t="s">
        <v>33</v>
      </c>
      <c r="L405" s="3" t="s">
        <v>64</v>
      </c>
      <c r="M405" s="3" t="s">
        <v>269</v>
      </c>
      <c r="N405" s="3">
        <v>7</v>
      </c>
      <c r="O405" s="5">
        <v>0</v>
      </c>
      <c r="P405" s="6">
        <v>435.79</v>
      </c>
      <c r="Q405" s="6">
        <v>-13.42</v>
      </c>
    </row>
    <row r="406" spans="1:17" x14ac:dyDescent="0.3">
      <c r="A406" s="3">
        <v>405</v>
      </c>
      <c r="B406" s="3" t="s">
        <v>788</v>
      </c>
      <c r="C406" s="4">
        <v>44809</v>
      </c>
      <c r="D406" s="4">
        <v>44815</v>
      </c>
      <c r="E406" s="3" t="s">
        <v>19</v>
      </c>
      <c r="F406" s="3" t="s">
        <v>338</v>
      </c>
      <c r="G406" s="3" t="s">
        <v>21</v>
      </c>
      <c r="H406" s="3" t="s">
        <v>40</v>
      </c>
      <c r="I406" s="3" t="s">
        <v>223</v>
      </c>
      <c r="J406" s="3" t="s">
        <v>224</v>
      </c>
      <c r="K406" s="3" t="s">
        <v>33</v>
      </c>
      <c r="L406" s="3" t="s">
        <v>34</v>
      </c>
      <c r="M406" s="3" t="s">
        <v>35</v>
      </c>
      <c r="N406" s="3">
        <v>7</v>
      </c>
      <c r="O406" s="5">
        <v>0.2</v>
      </c>
      <c r="P406" s="6">
        <v>4146.13</v>
      </c>
      <c r="Q406" s="6">
        <v>173.73</v>
      </c>
    </row>
    <row r="407" spans="1:17" x14ac:dyDescent="0.3">
      <c r="A407" s="3">
        <v>406</v>
      </c>
      <c r="B407" s="3" t="s">
        <v>789</v>
      </c>
      <c r="C407" s="4">
        <v>45304</v>
      </c>
      <c r="D407" s="4">
        <v>45310</v>
      </c>
      <c r="E407" s="3" t="s">
        <v>37</v>
      </c>
      <c r="F407" s="3" t="s">
        <v>790</v>
      </c>
      <c r="G407" s="3" t="s">
        <v>21</v>
      </c>
      <c r="H407" s="3" t="s">
        <v>22</v>
      </c>
      <c r="I407" s="3" t="s">
        <v>31</v>
      </c>
      <c r="J407" s="3" t="s">
        <v>32</v>
      </c>
      <c r="K407" s="3" t="s">
        <v>25</v>
      </c>
      <c r="L407" s="3" t="s">
        <v>74</v>
      </c>
      <c r="M407" s="3" t="s">
        <v>75</v>
      </c>
      <c r="N407" s="3">
        <v>5</v>
      </c>
      <c r="O407" s="5">
        <v>0.4</v>
      </c>
      <c r="P407" s="6">
        <v>268.24</v>
      </c>
      <c r="Q407" s="6">
        <v>88.5</v>
      </c>
    </row>
    <row r="408" spans="1:17" x14ac:dyDescent="0.3">
      <c r="A408" s="3">
        <v>407</v>
      </c>
      <c r="B408" s="3" t="s">
        <v>791</v>
      </c>
      <c r="C408" s="4">
        <v>45383</v>
      </c>
      <c r="D408" s="4">
        <v>45385</v>
      </c>
      <c r="E408" s="3" t="s">
        <v>19</v>
      </c>
      <c r="F408" s="3" t="s">
        <v>633</v>
      </c>
      <c r="G408" s="3" t="s">
        <v>21</v>
      </c>
      <c r="H408" s="3" t="s">
        <v>22</v>
      </c>
      <c r="I408" s="3" t="s">
        <v>84</v>
      </c>
      <c r="J408" s="3" t="s">
        <v>85</v>
      </c>
      <c r="K408" s="3" t="s">
        <v>33</v>
      </c>
      <c r="L408" s="3" t="s">
        <v>34</v>
      </c>
      <c r="M408" s="3" t="s">
        <v>35</v>
      </c>
      <c r="N408" s="3">
        <v>2</v>
      </c>
      <c r="O408" s="5">
        <v>0</v>
      </c>
      <c r="P408" s="6">
        <v>99.78</v>
      </c>
      <c r="Q408" s="6">
        <v>4.32</v>
      </c>
    </row>
    <row r="409" spans="1:17" x14ac:dyDescent="0.3">
      <c r="A409" s="3">
        <v>408</v>
      </c>
      <c r="B409" s="3" t="s">
        <v>792</v>
      </c>
      <c r="C409" s="4">
        <v>44396</v>
      </c>
      <c r="D409" s="4">
        <v>44400</v>
      </c>
      <c r="E409" s="3" t="s">
        <v>19</v>
      </c>
      <c r="F409" s="3" t="s">
        <v>793</v>
      </c>
      <c r="G409" s="3" t="s">
        <v>39</v>
      </c>
      <c r="H409" s="3" t="s">
        <v>40</v>
      </c>
      <c r="I409" s="3" t="s">
        <v>158</v>
      </c>
      <c r="J409" s="3" t="s">
        <v>159</v>
      </c>
      <c r="K409" s="3" t="s">
        <v>33</v>
      </c>
      <c r="L409" s="3" t="s">
        <v>49</v>
      </c>
      <c r="M409" s="3" t="s">
        <v>286</v>
      </c>
      <c r="N409" s="3">
        <v>10</v>
      </c>
      <c r="O409" s="5">
        <v>0</v>
      </c>
      <c r="P409" s="6">
        <v>1402.15</v>
      </c>
      <c r="Q409" s="6">
        <v>337.47</v>
      </c>
    </row>
    <row r="410" spans="1:17" x14ac:dyDescent="0.3">
      <c r="A410" s="3">
        <v>409</v>
      </c>
      <c r="B410" s="3" t="s">
        <v>794</v>
      </c>
      <c r="C410" s="4">
        <v>45020</v>
      </c>
      <c r="D410" s="4">
        <v>45023</v>
      </c>
      <c r="E410" s="3" t="s">
        <v>37</v>
      </c>
      <c r="F410" s="3" t="s">
        <v>575</v>
      </c>
      <c r="G410" s="3" t="s">
        <v>21</v>
      </c>
      <c r="H410" s="3" t="s">
        <v>22</v>
      </c>
      <c r="I410" s="3" t="s">
        <v>68</v>
      </c>
      <c r="J410" s="3" t="s">
        <v>69</v>
      </c>
      <c r="K410" s="3" t="s">
        <v>25</v>
      </c>
      <c r="L410" s="3" t="s">
        <v>53</v>
      </c>
      <c r="M410" s="3" t="s">
        <v>171</v>
      </c>
      <c r="N410" s="3">
        <v>2</v>
      </c>
      <c r="O410" s="5">
        <v>0</v>
      </c>
      <c r="P410" s="6">
        <v>234.3</v>
      </c>
      <c r="Q410" s="6">
        <v>-13.37</v>
      </c>
    </row>
    <row r="411" spans="1:17" x14ac:dyDescent="0.3">
      <c r="A411" s="3">
        <v>410</v>
      </c>
      <c r="B411" s="3" t="s">
        <v>795</v>
      </c>
      <c r="C411" s="4">
        <v>45623</v>
      </c>
      <c r="D411" s="4">
        <v>45626</v>
      </c>
      <c r="E411" s="3" t="s">
        <v>56</v>
      </c>
      <c r="F411" s="3" t="s">
        <v>466</v>
      </c>
      <c r="G411" s="3" t="s">
        <v>39</v>
      </c>
      <c r="H411" s="3" t="s">
        <v>22</v>
      </c>
      <c r="I411" s="3" t="s">
        <v>23</v>
      </c>
      <c r="J411" s="3" t="s">
        <v>24</v>
      </c>
      <c r="K411" s="3" t="s">
        <v>25</v>
      </c>
      <c r="L411" s="3" t="s">
        <v>74</v>
      </c>
      <c r="M411" s="3" t="s">
        <v>75</v>
      </c>
      <c r="N411" s="3">
        <v>9</v>
      </c>
      <c r="O411" s="5">
        <v>0.1</v>
      </c>
      <c r="P411" s="6">
        <v>187.44</v>
      </c>
      <c r="Q411" s="6">
        <v>57.25</v>
      </c>
    </row>
    <row r="412" spans="1:17" x14ac:dyDescent="0.3">
      <c r="A412" s="3">
        <v>411</v>
      </c>
      <c r="B412" s="3" t="s">
        <v>796</v>
      </c>
      <c r="C412" s="4">
        <v>44211</v>
      </c>
      <c r="D412" s="4">
        <v>44213</v>
      </c>
      <c r="E412" s="3" t="s">
        <v>37</v>
      </c>
      <c r="F412" s="3" t="s">
        <v>797</v>
      </c>
      <c r="G412" s="3" t="s">
        <v>21</v>
      </c>
      <c r="H412" s="3" t="s">
        <v>40</v>
      </c>
      <c r="I412" s="3" t="s">
        <v>158</v>
      </c>
      <c r="J412" s="3" t="s">
        <v>159</v>
      </c>
      <c r="K412" s="3" t="s">
        <v>58</v>
      </c>
      <c r="L412" s="3" t="s">
        <v>59</v>
      </c>
      <c r="M412" s="3" t="s">
        <v>60</v>
      </c>
      <c r="N412" s="3">
        <v>2</v>
      </c>
      <c r="O412" s="5">
        <v>0.15</v>
      </c>
      <c r="P412" s="6">
        <v>691.74</v>
      </c>
      <c r="Q412" s="6">
        <v>-0.18</v>
      </c>
    </row>
    <row r="413" spans="1:17" x14ac:dyDescent="0.3">
      <c r="A413" s="3">
        <v>412</v>
      </c>
      <c r="B413" s="3" t="s">
        <v>798</v>
      </c>
      <c r="C413" s="4">
        <v>45613</v>
      </c>
      <c r="D413" s="4">
        <v>45614</v>
      </c>
      <c r="E413" s="3" t="s">
        <v>62</v>
      </c>
      <c r="F413" s="3" t="s">
        <v>132</v>
      </c>
      <c r="G413" s="3" t="s">
        <v>30</v>
      </c>
      <c r="H413" s="3" t="s">
        <v>90</v>
      </c>
      <c r="I413" s="3" t="s">
        <v>110</v>
      </c>
      <c r="J413" s="3" t="s">
        <v>111</v>
      </c>
      <c r="K413" s="3" t="s">
        <v>25</v>
      </c>
      <c r="L413" s="3" t="s">
        <v>26</v>
      </c>
      <c r="M413" s="3" t="s">
        <v>155</v>
      </c>
      <c r="N413" s="3">
        <v>10</v>
      </c>
      <c r="O413" s="5">
        <v>0.4</v>
      </c>
      <c r="P413" s="6">
        <v>204.51</v>
      </c>
      <c r="Q413" s="6">
        <v>23.97</v>
      </c>
    </row>
    <row r="414" spans="1:17" x14ac:dyDescent="0.3">
      <c r="A414" s="3">
        <v>413</v>
      </c>
      <c r="B414" s="3" t="s">
        <v>799</v>
      </c>
      <c r="C414" s="4">
        <v>45302</v>
      </c>
      <c r="D414" s="4">
        <v>45307</v>
      </c>
      <c r="E414" s="3" t="s">
        <v>56</v>
      </c>
      <c r="F414" s="3" t="s">
        <v>800</v>
      </c>
      <c r="G414" s="3" t="s">
        <v>39</v>
      </c>
      <c r="H414" s="3" t="s">
        <v>40</v>
      </c>
      <c r="I414" s="3" t="s">
        <v>114</v>
      </c>
      <c r="J414" s="3" t="s">
        <v>115</v>
      </c>
      <c r="K414" s="3" t="s">
        <v>33</v>
      </c>
      <c r="L414" s="3" t="s">
        <v>49</v>
      </c>
      <c r="M414" s="3" t="s">
        <v>286</v>
      </c>
      <c r="N414" s="3">
        <v>4</v>
      </c>
      <c r="O414" s="5">
        <v>0.1</v>
      </c>
      <c r="P414" s="6">
        <v>1312.78</v>
      </c>
      <c r="Q414" s="6">
        <v>-110.46</v>
      </c>
    </row>
    <row r="415" spans="1:17" x14ac:dyDescent="0.3">
      <c r="A415" s="3">
        <v>414</v>
      </c>
      <c r="B415" s="3" t="s">
        <v>801</v>
      </c>
      <c r="C415" s="4">
        <v>45517</v>
      </c>
      <c r="D415" s="4">
        <v>45520</v>
      </c>
      <c r="E415" s="3" t="s">
        <v>62</v>
      </c>
      <c r="F415" s="3" t="s">
        <v>377</v>
      </c>
      <c r="G415" s="3" t="s">
        <v>39</v>
      </c>
      <c r="H415" s="3" t="s">
        <v>90</v>
      </c>
      <c r="I415" s="3" t="s">
        <v>104</v>
      </c>
      <c r="J415" s="3" t="s">
        <v>105</v>
      </c>
      <c r="K415" s="3" t="s">
        <v>33</v>
      </c>
      <c r="L415" s="3" t="s">
        <v>49</v>
      </c>
      <c r="M415" s="3" t="s">
        <v>50</v>
      </c>
      <c r="N415" s="3">
        <v>5</v>
      </c>
      <c r="O415" s="5">
        <v>0.15</v>
      </c>
      <c r="P415" s="6">
        <v>794.91</v>
      </c>
      <c r="Q415" s="6">
        <v>-39.29</v>
      </c>
    </row>
    <row r="416" spans="1:17" x14ac:dyDescent="0.3">
      <c r="A416" s="3">
        <v>415</v>
      </c>
      <c r="B416" s="3" t="s">
        <v>802</v>
      </c>
      <c r="C416" s="4">
        <v>44342</v>
      </c>
      <c r="D416" s="4">
        <v>44344</v>
      </c>
      <c r="E416" s="3" t="s">
        <v>19</v>
      </c>
      <c r="F416" s="3" t="s">
        <v>294</v>
      </c>
      <c r="G416" s="3" t="s">
        <v>30</v>
      </c>
      <c r="H416" s="3" t="s">
        <v>40</v>
      </c>
      <c r="I416" s="3" t="s">
        <v>114</v>
      </c>
      <c r="J416" s="3" t="s">
        <v>115</v>
      </c>
      <c r="K416" s="3" t="s">
        <v>58</v>
      </c>
      <c r="L416" s="3" t="s">
        <v>217</v>
      </c>
      <c r="M416" s="3" t="s">
        <v>232</v>
      </c>
      <c r="N416" s="3">
        <v>12</v>
      </c>
      <c r="O416" s="5">
        <v>0.2</v>
      </c>
      <c r="P416" s="6">
        <v>2696.66</v>
      </c>
      <c r="Q416" s="6">
        <v>3.88</v>
      </c>
    </row>
    <row r="417" spans="1:17" x14ac:dyDescent="0.3">
      <c r="A417" s="3">
        <v>416</v>
      </c>
      <c r="B417" s="3" t="s">
        <v>803</v>
      </c>
      <c r="C417" s="4">
        <v>44648</v>
      </c>
      <c r="D417" s="4">
        <v>44649</v>
      </c>
      <c r="E417" s="3" t="s">
        <v>19</v>
      </c>
      <c r="F417" s="3" t="s">
        <v>783</v>
      </c>
      <c r="G417" s="3" t="s">
        <v>30</v>
      </c>
      <c r="H417" s="3" t="s">
        <v>22</v>
      </c>
      <c r="I417" s="3" t="s">
        <v>68</v>
      </c>
      <c r="J417" s="3" t="s">
        <v>69</v>
      </c>
      <c r="K417" s="3" t="s">
        <v>25</v>
      </c>
      <c r="L417" s="3" t="s">
        <v>26</v>
      </c>
      <c r="M417" s="3" t="s">
        <v>259</v>
      </c>
      <c r="N417" s="3">
        <v>8</v>
      </c>
      <c r="O417" s="5">
        <v>0</v>
      </c>
      <c r="P417" s="6">
        <v>568.33000000000004</v>
      </c>
      <c r="Q417" s="6">
        <v>161.57</v>
      </c>
    </row>
    <row r="418" spans="1:17" x14ac:dyDescent="0.3">
      <c r="A418" s="3">
        <v>417</v>
      </c>
      <c r="B418" s="3" t="s">
        <v>804</v>
      </c>
      <c r="C418" s="4">
        <v>44749</v>
      </c>
      <c r="D418" s="4">
        <v>44751</v>
      </c>
      <c r="E418" s="3" t="s">
        <v>19</v>
      </c>
      <c r="F418" s="3" t="s">
        <v>434</v>
      </c>
      <c r="G418" s="3" t="s">
        <v>30</v>
      </c>
      <c r="H418" s="3" t="s">
        <v>90</v>
      </c>
      <c r="I418" s="3" t="s">
        <v>99</v>
      </c>
      <c r="J418" s="3" t="s">
        <v>100</v>
      </c>
      <c r="K418" s="3" t="s">
        <v>33</v>
      </c>
      <c r="L418" s="3" t="s">
        <v>95</v>
      </c>
      <c r="M418" s="3" t="s">
        <v>96</v>
      </c>
      <c r="N418" s="3">
        <v>6</v>
      </c>
      <c r="O418" s="5">
        <v>0</v>
      </c>
      <c r="P418" s="6">
        <v>665.21</v>
      </c>
      <c r="Q418" s="6">
        <v>-54.31</v>
      </c>
    </row>
    <row r="419" spans="1:17" x14ac:dyDescent="0.3">
      <c r="A419" s="3">
        <v>418</v>
      </c>
      <c r="B419" s="3" t="s">
        <v>805</v>
      </c>
      <c r="C419" s="4">
        <v>45449</v>
      </c>
      <c r="D419" s="4">
        <v>45451</v>
      </c>
      <c r="E419" s="3" t="s">
        <v>56</v>
      </c>
      <c r="F419" s="3" t="s">
        <v>351</v>
      </c>
      <c r="G419" s="3" t="s">
        <v>30</v>
      </c>
      <c r="H419" s="3" t="s">
        <v>46</v>
      </c>
      <c r="I419" s="3" t="s">
        <v>78</v>
      </c>
      <c r="J419" s="3" t="s">
        <v>79</v>
      </c>
      <c r="K419" s="3" t="s">
        <v>58</v>
      </c>
      <c r="L419" s="3" t="s">
        <v>86</v>
      </c>
      <c r="M419" s="3" t="s">
        <v>133</v>
      </c>
      <c r="N419" s="3">
        <v>10</v>
      </c>
      <c r="O419" s="5">
        <v>0.1</v>
      </c>
      <c r="P419" s="6">
        <v>4713.8500000000004</v>
      </c>
      <c r="Q419" s="6">
        <v>-933.89</v>
      </c>
    </row>
    <row r="420" spans="1:17" x14ac:dyDescent="0.3">
      <c r="A420" s="3">
        <v>419</v>
      </c>
      <c r="B420" s="3" t="s">
        <v>806</v>
      </c>
      <c r="C420" s="4">
        <v>44704</v>
      </c>
      <c r="D420" s="4">
        <v>44707</v>
      </c>
      <c r="E420" s="3" t="s">
        <v>56</v>
      </c>
      <c r="F420" s="3" t="s">
        <v>807</v>
      </c>
      <c r="G420" s="3" t="s">
        <v>21</v>
      </c>
      <c r="H420" s="3" t="s">
        <v>46</v>
      </c>
      <c r="I420" s="3" t="s">
        <v>257</v>
      </c>
      <c r="J420" s="3" t="s">
        <v>258</v>
      </c>
      <c r="K420" s="3" t="s">
        <v>25</v>
      </c>
      <c r="L420" s="3" t="s">
        <v>53</v>
      </c>
      <c r="M420" s="3" t="s">
        <v>139</v>
      </c>
      <c r="N420" s="3">
        <v>7</v>
      </c>
      <c r="O420" s="5">
        <v>0</v>
      </c>
      <c r="P420" s="6">
        <v>492.64</v>
      </c>
      <c r="Q420" s="6">
        <v>146.93</v>
      </c>
    </row>
    <row r="421" spans="1:17" x14ac:dyDescent="0.3">
      <c r="A421" s="3">
        <v>420</v>
      </c>
      <c r="B421" s="3" t="s">
        <v>808</v>
      </c>
      <c r="C421" s="4">
        <v>45637</v>
      </c>
      <c r="D421" s="4">
        <v>45641</v>
      </c>
      <c r="E421" s="3" t="s">
        <v>37</v>
      </c>
      <c r="F421" s="3" t="s">
        <v>288</v>
      </c>
      <c r="G421" s="3" t="s">
        <v>21</v>
      </c>
      <c r="H421" s="3" t="s">
        <v>40</v>
      </c>
      <c r="I421" s="3" t="s">
        <v>158</v>
      </c>
      <c r="J421" s="3" t="s">
        <v>159</v>
      </c>
      <c r="K421" s="3" t="s">
        <v>33</v>
      </c>
      <c r="L421" s="3" t="s">
        <v>64</v>
      </c>
      <c r="M421" s="3" t="s">
        <v>126</v>
      </c>
      <c r="N421" s="3">
        <v>14</v>
      </c>
      <c r="O421" s="5">
        <v>0</v>
      </c>
      <c r="P421" s="6">
        <v>5740.1</v>
      </c>
      <c r="Q421" s="6">
        <v>1927.83</v>
      </c>
    </row>
    <row r="422" spans="1:17" x14ac:dyDescent="0.3">
      <c r="A422" s="3">
        <v>421</v>
      </c>
      <c r="B422" s="3" t="s">
        <v>809</v>
      </c>
      <c r="C422" s="4">
        <v>45611</v>
      </c>
      <c r="D422" s="4">
        <v>45614</v>
      </c>
      <c r="E422" s="3" t="s">
        <v>62</v>
      </c>
      <c r="F422" s="3" t="s">
        <v>569</v>
      </c>
      <c r="G422" s="3" t="s">
        <v>30</v>
      </c>
      <c r="H422" s="3" t="s">
        <v>90</v>
      </c>
      <c r="I422" s="3" t="s">
        <v>169</v>
      </c>
      <c r="J422" s="3" t="s">
        <v>170</v>
      </c>
      <c r="K422" s="3" t="s">
        <v>58</v>
      </c>
      <c r="L422" s="3" t="s">
        <v>59</v>
      </c>
      <c r="M422" s="3" t="s">
        <v>220</v>
      </c>
      <c r="N422" s="3">
        <v>9</v>
      </c>
      <c r="O422" s="5">
        <v>0.3</v>
      </c>
      <c r="P422" s="6">
        <v>371.63</v>
      </c>
      <c r="Q422" s="6">
        <v>74.97</v>
      </c>
    </row>
    <row r="423" spans="1:17" x14ac:dyDescent="0.3">
      <c r="A423" s="3">
        <v>422</v>
      </c>
      <c r="B423" s="3" t="s">
        <v>810</v>
      </c>
      <c r="C423" s="4">
        <v>45464</v>
      </c>
      <c r="D423" s="4">
        <v>45465</v>
      </c>
      <c r="E423" s="3" t="s">
        <v>62</v>
      </c>
      <c r="F423" s="3" t="s">
        <v>441</v>
      </c>
      <c r="G423" s="3" t="s">
        <v>21</v>
      </c>
      <c r="H423" s="3" t="s">
        <v>46</v>
      </c>
      <c r="I423" s="3" t="s">
        <v>257</v>
      </c>
      <c r="J423" s="3" t="s">
        <v>258</v>
      </c>
      <c r="K423" s="3" t="s">
        <v>33</v>
      </c>
      <c r="L423" s="3" t="s">
        <v>64</v>
      </c>
      <c r="M423" s="3" t="s">
        <v>269</v>
      </c>
      <c r="N423" s="3">
        <v>6</v>
      </c>
      <c r="O423" s="5">
        <v>0</v>
      </c>
      <c r="P423" s="6">
        <v>1634.05</v>
      </c>
      <c r="Q423" s="6">
        <v>141.27000000000001</v>
      </c>
    </row>
    <row r="424" spans="1:17" x14ac:dyDescent="0.3">
      <c r="A424" s="3">
        <v>423</v>
      </c>
      <c r="B424" s="3" t="s">
        <v>811</v>
      </c>
      <c r="C424" s="4">
        <v>44658</v>
      </c>
      <c r="D424" s="4">
        <v>44661</v>
      </c>
      <c r="E424" s="3" t="s">
        <v>56</v>
      </c>
      <c r="F424" s="3" t="s">
        <v>650</v>
      </c>
      <c r="G424" s="3" t="s">
        <v>30</v>
      </c>
      <c r="H424" s="3" t="s">
        <v>90</v>
      </c>
      <c r="I424" s="3" t="s">
        <v>91</v>
      </c>
      <c r="J424" s="3" t="s">
        <v>92</v>
      </c>
      <c r="K424" s="3" t="s">
        <v>58</v>
      </c>
      <c r="L424" s="3" t="s">
        <v>86</v>
      </c>
      <c r="M424" s="3" t="s">
        <v>133</v>
      </c>
      <c r="N424" s="3">
        <v>6</v>
      </c>
      <c r="O424" s="5">
        <v>0.3</v>
      </c>
      <c r="P424" s="6">
        <v>2468.08</v>
      </c>
      <c r="Q424" s="6">
        <v>-206.61</v>
      </c>
    </row>
    <row r="425" spans="1:17" x14ac:dyDescent="0.3">
      <c r="A425" s="3">
        <v>424</v>
      </c>
      <c r="B425" s="3" t="s">
        <v>812</v>
      </c>
      <c r="C425" s="4">
        <v>44795</v>
      </c>
      <c r="D425" s="4">
        <v>44799</v>
      </c>
      <c r="E425" s="3" t="s">
        <v>19</v>
      </c>
      <c r="F425" s="3" t="s">
        <v>653</v>
      </c>
      <c r="G425" s="3" t="s">
        <v>30</v>
      </c>
      <c r="H425" s="3" t="s">
        <v>22</v>
      </c>
      <c r="I425" s="3" t="s">
        <v>84</v>
      </c>
      <c r="J425" s="3" t="s">
        <v>85</v>
      </c>
      <c r="K425" s="3" t="s">
        <v>25</v>
      </c>
      <c r="L425" s="3" t="s">
        <v>53</v>
      </c>
      <c r="M425" s="3" t="s">
        <v>171</v>
      </c>
      <c r="N425" s="3">
        <v>10</v>
      </c>
      <c r="O425" s="5">
        <v>0</v>
      </c>
      <c r="P425" s="6">
        <v>454.41</v>
      </c>
      <c r="Q425" s="6">
        <v>-62.25</v>
      </c>
    </row>
    <row r="426" spans="1:17" x14ac:dyDescent="0.3">
      <c r="A426" s="3">
        <v>425</v>
      </c>
      <c r="B426" s="3" t="s">
        <v>813</v>
      </c>
      <c r="C426" s="4">
        <v>45624</v>
      </c>
      <c r="D426" s="4">
        <v>45626</v>
      </c>
      <c r="E426" s="3" t="s">
        <v>19</v>
      </c>
      <c r="F426" s="3" t="s">
        <v>109</v>
      </c>
      <c r="G426" s="3" t="s">
        <v>39</v>
      </c>
      <c r="H426" s="3" t="s">
        <v>46</v>
      </c>
      <c r="I426" s="3" t="s">
        <v>257</v>
      </c>
      <c r="J426" s="3" t="s">
        <v>258</v>
      </c>
      <c r="K426" s="3" t="s">
        <v>33</v>
      </c>
      <c r="L426" s="3" t="s">
        <v>64</v>
      </c>
      <c r="M426" s="3" t="s">
        <v>126</v>
      </c>
      <c r="N426" s="3">
        <v>8</v>
      </c>
      <c r="O426" s="5">
        <v>0.1</v>
      </c>
      <c r="P426" s="6">
        <v>982.31</v>
      </c>
      <c r="Q426" s="6">
        <v>61.31</v>
      </c>
    </row>
    <row r="427" spans="1:17" x14ac:dyDescent="0.3">
      <c r="A427" s="3">
        <v>426</v>
      </c>
      <c r="B427" s="3" t="s">
        <v>814</v>
      </c>
      <c r="C427" s="4">
        <v>44240</v>
      </c>
      <c r="D427" s="4">
        <v>44243</v>
      </c>
      <c r="E427" s="3" t="s">
        <v>37</v>
      </c>
      <c r="F427" s="3" t="s">
        <v>815</v>
      </c>
      <c r="G427" s="3" t="s">
        <v>30</v>
      </c>
      <c r="H427" s="3" t="s">
        <v>90</v>
      </c>
      <c r="I427" s="3" t="s">
        <v>99</v>
      </c>
      <c r="J427" s="3" t="s">
        <v>100</v>
      </c>
      <c r="K427" s="3" t="s">
        <v>25</v>
      </c>
      <c r="L427" s="3" t="s">
        <v>53</v>
      </c>
      <c r="M427" s="3" t="s">
        <v>171</v>
      </c>
      <c r="N427" s="3">
        <v>4</v>
      </c>
      <c r="O427" s="5">
        <v>0.1</v>
      </c>
      <c r="P427" s="6">
        <v>36.58</v>
      </c>
      <c r="Q427" s="6">
        <v>9.18</v>
      </c>
    </row>
    <row r="428" spans="1:17" x14ac:dyDescent="0.3">
      <c r="A428" s="3">
        <v>427</v>
      </c>
      <c r="B428" s="3" t="s">
        <v>816</v>
      </c>
      <c r="C428" s="4">
        <v>45134</v>
      </c>
      <c r="D428" s="4">
        <v>45137</v>
      </c>
      <c r="E428" s="3" t="s">
        <v>37</v>
      </c>
      <c r="F428" s="3" t="s">
        <v>817</v>
      </c>
      <c r="G428" s="3" t="s">
        <v>30</v>
      </c>
      <c r="H428" s="3" t="s">
        <v>90</v>
      </c>
      <c r="I428" s="3" t="s">
        <v>91</v>
      </c>
      <c r="J428" s="3" t="s">
        <v>92</v>
      </c>
      <c r="K428" s="3" t="s">
        <v>25</v>
      </c>
      <c r="L428" s="3" t="s">
        <v>80</v>
      </c>
      <c r="M428" s="3" t="s">
        <v>150</v>
      </c>
      <c r="N428" s="3">
        <v>10</v>
      </c>
      <c r="O428" s="5">
        <v>0.15</v>
      </c>
      <c r="P428" s="6">
        <v>167.8</v>
      </c>
      <c r="Q428" s="6">
        <v>-24.66</v>
      </c>
    </row>
    <row r="429" spans="1:17" x14ac:dyDescent="0.3">
      <c r="A429" s="3">
        <v>428</v>
      </c>
      <c r="B429" s="3" t="s">
        <v>818</v>
      </c>
      <c r="C429" s="4">
        <v>45463</v>
      </c>
      <c r="D429" s="4">
        <v>45465</v>
      </c>
      <c r="E429" s="3" t="s">
        <v>62</v>
      </c>
      <c r="F429" s="3" t="s">
        <v>819</v>
      </c>
      <c r="G429" s="3" t="s">
        <v>21</v>
      </c>
      <c r="H429" s="3" t="s">
        <v>22</v>
      </c>
      <c r="I429" s="3" t="s">
        <v>68</v>
      </c>
      <c r="J429" s="3" t="s">
        <v>69</v>
      </c>
      <c r="K429" s="3" t="s">
        <v>25</v>
      </c>
      <c r="L429" s="3" t="s">
        <v>74</v>
      </c>
      <c r="M429" s="3" t="s">
        <v>75</v>
      </c>
      <c r="N429" s="3">
        <v>12</v>
      </c>
      <c r="O429" s="5">
        <v>0</v>
      </c>
      <c r="P429" s="6">
        <v>782.01</v>
      </c>
      <c r="Q429" s="6">
        <v>261.13</v>
      </c>
    </row>
    <row r="430" spans="1:17" x14ac:dyDescent="0.3">
      <c r="A430" s="3">
        <v>429</v>
      </c>
      <c r="B430" s="3" t="s">
        <v>820</v>
      </c>
      <c r="C430" s="4">
        <v>44574</v>
      </c>
      <c r="D430" s="4">
        <v>44576</v>
      </c>
      <c r="E430" s="3" t="s">
        <v>19</v>
      </c>
      <c r="F430" s="3" t="s">
        <v>192</v>
      </c>
      <c r="G430" s="3" t="s">
        <v>39</v>
      </c>
      <c r="H430" s="3" t="s">
        <v>46</v>
      </c>
      <c r="I430" s="3" t="s">
        <v>47</v>
      </c>
      <c r="J430" s="3" t="s">
        <v>48</v>
      </c>
      <c r="K430" s="3" t="s">
        <v>33</v>
      </c>
      <c r="L430" s="3" t="s">
        <v>64</v>
      </c>
      <c r="M430" s="3" t="s">
        <v>269</v>
      </c>
      <c r="N430" s="3">
        <v>9</v>
      </c>
      <c r="O430" s="5">
        <v>0.2</v>
      </c>
      <c r="P430" s="6">
        <v>4249.59</v>
      </c>
      <c r="Q430" s="6">
        <v>1431.32</v>
      </c>
    </row>
    <row r="431" spans="1:17" x14ac:dyDescent="0.3">
      <c r="A431" s="3">
        <v>430</v>
      </c>
      <c r="B431" s="3" t="s">
        <v>821</v>
      </c>
      <c r="C431" s="4">
        <v>44494</v>
      </c>
      <c r="D431" s="4">
        <v>44498</v>
      </c>
      <c r="E431" s="3" t="s">
        <v>19</v>
      </c>
      <c r="F431" s="3" t="s">
        <v>226</v>
      </c>
      <c r="G431" s="3" t="s">
        <v>39</v>
      </c>
      <c r="H431" s="3" t="s">
        <v>46</v>
      </c>
      <c r="I431" s="3" t="s">
        <v>257</v>
      </c>
      <c r="J431" s="3" t="s">
        <v>258</v>
      </c>
      <c r="K431" s="3" t="s">
        <v>58</v>
      </c>
      <c r="L431" s="3" t="s">
        <v>217</v>
      </c>
      <c r="M431" s="3" t="s">
        <v>218</v>
      </c>
      <c r="N431" s="3">
        <v>6</v>
      </c>
      <c r="O431" s="5">
        <v>0.2</v>
      </c>
      <c r="P431" s="6">
        <v>582.87</v>
      </c>
      <c r="Q431" s="6">
        <v>80.64</v>
      </c>
    </row>
    <row r="432" spans="1:17" x14ac:dyDescent="0.3">
      <c r="A432" s="3">
        <v>431</v>
      </c>
      <c r="B432" s="3" t="s">
        <v>822</v>
      </c>
      <c r="C432" s="4">
        <v>44279</v>
      </c>
      <c r="D432" s="4">
        <v>44281</v>
      </c>
      <c r="E432" s="3" t="s">
        <v>37</v>
      </c>
      <c r="F432" s="3" t="s">
        <v>391</v>
      </c>
      <c r="G432" s="3" t="s">
        <v>21</v>
      </c>
      <c r="H432" s="3" t="s">
        <v>90</v>
      </c>
      <c r="I432" s="3" t="s">
        <v>99</v>
      </c>
      <c r="J432" s="3" t="s">
        <v>100</v>
      </c>
      <c r="K432" s="3" t="s">
        <v>25</v>
      </c>
      <c r="L432" s="3" t="s">
        <v>53</v>
      </c>
      <c r="M432" s="3" t="s">
        <v>54</v>
      </c>
      <c r="N432" s="3">
        <v>11</v>
      </c>
      <c r="O432" s="5">
        <v>0.15</v>
      </c>
      <c r="P432" s="6">
        <v>703.97</v>
      </c>
      <c r="Q432" s="6">
        <v>-165.52</v>
      </c>
    </row>
    <row r="433" spans="1:17" x14ac:dyDescent="0.3">
      <c r="A433" s="3">
        <v>432</v>
      </c>
      <c r="B433" s="3" t="s">
        <v>823</v>
      </c>
      <c r="C433" s="4">
        <v>44766</v>
      </c>
      <c r="D433" s="4">
        <v>44768</v>
      </c>
      <c r="E433" s="3" t="s">
        <v>56</v>
      </c>
      <c r="F433" s="3" t="s">
        <v>824</v>
      </c>
      <c r="G433" s="3" t="s">
        <v>21</v>
      </c>
      <c r="H433" s="3" t="s">
        <v>22</v>
      </c>
      <c r="I433" s="3" t="s">
        <v>31</v>
      </c>
      <c r="J433" s="3" t="s">
        <v>32</v>
      </c>
      <c r="K433" s="3" t="s">
        <v>25</v>
      </c>
      <c r="L433" s="3" t="s">
        <v>80</v>
      </c>
      <c r="M433" s="3" t="s">
        <v>81</v>
      </c>
      <c r="N433" s="3">
        <v>1</v>
      </c>
      <c r="O433" s="5">
        <v>0.4</v>
      </c>
      <c r="P433" s="6">
        <v>10.44</v>
      </c>
      <c r="Q433" s="6">
        <v>1.63</v>
      </c>
    </row>
    <row r="434" spans="1:17" x14ac:dyDescent="0.3">
      <c r="A434" s="3">
        <v>433</v>
      </c>
      <c r="B434" s="3" t="s">
        <v>825</v>
      </c>
      <c r="C434" s="4">
        <v>44936</v>
      </c>
      <c r="D434" s="4">
        <v>44940</v>
      </c>
      <c r="E434" s="3" t="s">
        <v>37</v>
      </c>
      <c r="F434" s="3" t="s">
        <v>690</v>
      </c>
      <c r="G434" s="3" t="s">
        <v>30</v>
      </c>
      <c r="H434" s="3" t="s">
        <v>46</v>
      </c>
      <c r="I434" s="3" t="s">
        <v>47</v>
      </c>
      <c r="J434" s="3" t="s">
        <v>48</v>
      </c>
      <c r="K434" s="3" t="s">
        <v>25</v>
      </c>
      <c r="L434" s="3" t="s">
        <v>116</v>
      </c>
      <c r="M434" s="3" t="s">
        <v>117</v>
      </c>
      <c r="N434" s="3">
        <v>3</v>
      </c>
      <c r="O434" s="5">
        <v>0.3</v>
      </c>
      <c r="P434" s="6">
        <v>236.1</v>
      </c>
      <c r="Q434" s="6">
        <v>-6.66</v>
      </c>
    </row>
    <row r="435" spans="1:17" x14ac:dyDescent="0.3">
      <c r="A435" s="3">
        <v>434</v>
      </c>
      <c r="B435" s="3" t="s">
        <v>826</v>
      </c>
      <c r="C435" s="4">
        <v>45106</v>
      </c>
      <c r="D435" s="4">
        <v>45112</v>
      </c>
      <c r="E435" s="3" t="s">
        <v>62</v>
      </c>
      <c r="F435" s="3" t="s">
        <v>549</v>
      </c>
      <c r="G435" s="3" t="s">
        <v>39</v>
      </c>
      <c r="H435" s="3" t="s">
        <v>46</v>
      </c>
      <c r="I435" s="3" t="s">
        <v>146</v>
      </c>
      <c r="J435" s="3" t="s">
        <v>147</v>
      </c>
      <c r="K435" s="3" t="s">
        <v>58</v>
      </c>
      <c r="L435" s="3" t="s">
        <v>59</v>
      </c>
      <c r="M435" s="3" t="s">
        <v>60</v>
      </c>
      <c r="N435" s="3">
        <v>7</v>
      </c>
      <c r="O435" s="5">
        <v>0.15</v>
      </c>
      <c r="P435" s="6">
        <v>2725.69</v>
      </c>
      <c r="Q435" s="6">
        <v>-413.56</v>
      </c>
    </row>
    <row r="436" spans="1:17" x14ac:dyDescent="0.3">
      <c r="A436" s="3">
        <v>435</v>
      </c>
      <c r="B436" s="3" t="s">
        <v>827</v>
      </c>
      <c r="C436" s="4">
        <v>44332</v>
      </c>
      <c r="D436" s="4">
        <v>44337</v>
      </c>
      <c r="E436" s="3" t="s">
        <v>56</v>
      </c>
      <c r="F436" s="3" t="s">
        <v>828</v>
      </c>
      <c r="G436" s="3" t="s">
        <v>39</v>
      </c>
      <c r="H436" s="3" t="s">
        <v>40</v>
      </c>
      <c r="I436" s="3" t="s">
        <v>114</v>
      </c>
      <c r="J436" s="3" t="s">
        <v>115</v>
      </c>
      <c r="K436" s="3" t="s">
        <v>25</v>
      </c>
      <c r="L436" s="3" t="s">
        <v>80</v>
      </c>
      <c r="M436" s="3" t="s">
        <v>150</v>
      </c>
      <c r="N436" s="3">
        <v>13</v>
      </c>
      <c r="O436" s="5">
        <v>0</v>
      </c>
      <c r="P436" s="6">
        <v>602.42999999999995</v>
      </c>
      <c r="Q436" s="6">
        <v>-2.6</v>
      </c>
    </row>
    <row r="437" spans="1:17" x14ac:dyDescent="0.3">
      <c r="A437" s="3">
        <v>436</v>
      </c>
      <c r="B437" s="3" t="s">
        <v>829</v>
      </c>
      <c r="C437" s="4">
        <v>45331</v>
      </c>
      <c r="D437" s="4">
        <v>45335</v>
      </c>
      <c r="E437" s="3" t="s">
        <v>56</v>
      </c>
      <c r="F437" s="3" t="s">
        <v>725</v>
      </c>
      <c r="G437" s="3" t="s">
        <v>39</v>
      </c>
      <c r="H437" s="3" t="s">
        <v>40</v>
      </c>
      <c r="I437" s="3" t="s">
        <v>114</v>
      </c>
      <c r="J437" s="3" t="s">
        <v>115</v>
      </c>
      <c r="K437" s="3" t="s">
        <v>33</v>
      </c>
      <c r="L437" s="3" t="s">
        <v>34</v>
      </c>
      <c r="M437" s="3" t="s">
        <v>254</v>
      </c>
      <c r="N437" s="3">
        <v>1</v>
      </c>
      <c r="O437" s="5">
        <v>0.15</v>
      </c>
      <c r="P437" s="6">
        <v>554.27</v>
      </c>
      <c r="Q437" s="6">
        <v>138.97999999999999</v>
      </c>
    </row>
    <row r="438" spans="1:17" x14ac:dyDescent="0.3">
      <c r="A438" s="3">
        <v>437</v>
      </c>
      <c r="B438" s="3" t="s">
        <v>830</v>
      </c>
      <c r="C438" s="4">
        <v>44811</v>
      </c>
      <c r="D438" s="4">
        <v>44817</v>
      </c>
      <c r="E438" s="3" t="s">
        <v>19</v>
      </c>
      <c r="F438" s="3" t="s">
        <v>828</v>
      </c>
      <c r="G438" s="3" t="s">
        <v>30</v>
      </c>
      <c r="H438" s="3" t="s">
        <v>40</v>
      </c>
      <c r="I438" s="3" t="s">
        <v>158</v>
      </c>
      <c r="J438" s="3" t="s">
        <v>159</v>
      </c>
      <c r="K438" s="3" t="s">
        <v>58</v>
      </c>
      <c r="L438" s="3" t="s">
        <v>86</v>
      </c>
      <c r="M438" s="3" t="s">
        <v>211</v>
      </c>
      <c r="N438" s="3">
        <v>14</v>
      </c>
      <c r="O438" s="5">
        <v>0</v>
      </c>
      <c r="P438" s="6">
        <v>4608.57</v>
      </c>
      <c r="Q438" s="6">
        <v>655.74</v>
      </c>
    </row>
    <row r="439" spans="1:17" x14ac:dyDescent="0.3">
      <c r="A439" s="3">
        <v>438</v>
      </c>
      <c r="B439" s="3" t="s">
        <v>831</v>
      </c>
      <c r="C439" s="4">
        <v>45423</v>
      </c>
      <c r="D439" s="4">
        <v>45429</v>
      </c>
      <c r="E439" s="3" t="s">
        <v>62</v>
      </c>
      <c r="F439" s="3" t="s">
        <v>551</v>
      </c>
      <c r="G439" s="3" t="s">
        <v>39</v>
      </c>
      <c r="H439" s="3" t="s">
        <v>22</v>
      </c>
      <c r="I439" s="3" t="s">
        <v>23</v>
      </c>
      <c r="J439" s="3" t="s">
        <v>24</v>
      </c>
      <c r="K439" s="3" t="s">
        <v>25</v>
      </c>
      <c r="L439" s="3" t="s">
        <v>74</v>
      </c>
      <c r="M439" s="3" t="s">
        <v>75</v>
      </c>
      <c r="N439" s="3">
        <v>6</v>
      </c>
      <c r="O439" s="5">
        <v>0.3</v>
      </c>
      <c r="P439" s="6">
        <v>385.29</v>
      </c>
      <c r="Q439" s="6">
        <v>104.42</v>
      </c>
    </row>
    <row r="440" spans="1:17" x14ac:dyDescent="0.3">
      <c r="A440" s="3">
        <v>439</v>
      </c>
      <c r="B440" s="3" t="s">
        <v>832</v>
      </c>
      <c r="C440" s="4">
        <v>45141</v>
      </c>
      <c r="D440" s="4">
        <v>45147</v>
      </c>
      <c r="E440" s="3" t="s">
        <v>37</v>
      </c>
      <c r="F440" s="3" t="s">
        <v>833</v>
      </c>
      <c r="G440" s="3" t="s">
        <v>30</v>
      </c>
      <c r="H440" s="3" t="s">
        <v>46</v>
      </c>
      <c r="I440" s="3" t="s">
        <v>78</v>
      </c>
      <c r="J440" s="3" t="s">
        <v>79</v>
      </c>
      <c r="K440" s="3" t="s">
        <v>25</v>
      </c>
      <c r="L440" s="3" t="s">
        <v>26</v>
      </c>
      <c r="M440" s="3" t="s">
        <v>259</v>
      </c>
      <c r="N440" s="3">
        <v>3</v>
      </c>
      <c r="O440" s="5">
        <v>0</v>
      </c>
      <c r="P440" s="6">
        <v>132.51</v>
      </c>
      <c r="Q440" s="6">
        <v>-11.45</v>
      </c>
    </row>
    <row r="441" spans="1:17" x14ac:dyDescent="0.3">
      <c r="A441" s="3">
        <v>440</v>
      </c>
      <c r="B441" s="3" t="s">
        <v>834</v>
      </c>
      <c r="C441" s="4">
        <v>45423</v>
      </c>
      <c r="D441" s="4">
        <v>45430</v>
      </c>
      <c r="E441" s="3" t="s">
        <v>37</v>
      </c>
      <c r="F441" s="3" t="s">
        <v>835</v>
      </c>
      <c r="G441" s="3" t="s">
        <v>21</v>
      </c>
      <c r="H441" s="3" t="s">
        <v>22</v>
      </c>
      <c r="I441" s="3" t="s">
        <v>31</v>
      </c>
      <c r="J441" s="3" t="s">
        <v>32</v>
      </c>
      <c r="K441" s="3" t="s">
        <v>33</v>
      </c>
      <c r="L441" s="3" t="s">
        <v>95</v>
      </c>
      <c r="M441" s="3" t="s">
        <v>262</v>
      </c>
      <c r="N441" s="3">
        <v>3</v>
      </c>
      <c r="O441" s="5">
        <v>0.2</v>
      </c>
      <c r="P441" s="6">
        <v>1105.46</v>
      </c>
      <c r="Q441" s="6">
        <v>272.05</v>
      </c>
    </row>
    <row r="442" spans="1:17" x14ac:dyDescent="0.3">
      <c r="A442" s="3">
        <v>441</v>
      </c>
      <c r="B442" s="3" t="s">
        <v>836</v>
      </c>
      <c r="C442" s="4">
        <v>45190</v>
      </c>
      <c r="D442" s="4">
        <v>45194</v>
      </c>
      <c r="E442" s="3" t="s">
        <v>62</v>
      </c>
      <c r="F442" s="3" t="s">
        <v>837</v>
      </c>
      <c r="G442" s="3" t="s">
        <v>21</v>
      </c>
      <c r="H442" s="3" t="s">
        <v>40</v>
      </c>
      <c r="I442" s="3" t="s">
        <v>158</v>
      </c>
      <c r="J442" s="3" t="s">
        <v>159</v>
      </c>
      <c r="K442" s="3" t="s">
        <v>33</v>
      </c>
      <c r="L442" s="3" t="s">
        <v>64</v>
      </c>
      <c r="M442" s="3" t="s">
        <v>269</v>
      </c>
      <c r="N442" s="3">
        <v>6</v>
      </c>
      <c r="O442" s="5">
        <v>0</v>
      </c>
      <c r="P442" s="6">
        <v>3879.67</v>
      </c>
      <c r="Q442" s="6">
        <v>-731.51</v>
      </c>
    </row>
    <row r="443" spans="1:17" x14ac:dyDescent="0.3">
      <c r="A443" s="3">
        <v>442</v>
      </c>
      <c r="B443" s="3" t="s">
        <v>838</v>
      </c>
      <c r="C443" s="4">
        <v>44232</v>
      </c>
      <c r="D443" s="4">
        <v>44236</v>
      </c>
      <c r="E443" s="3" t="s">
        <v>19</v>
      </c>
      <c r="F443" s="3" t="s">
        <v>125</v>
      </c>
      <c r="G443" s="3" t="s">
        <v>30</v>
      </c>
      <c r="H443" s="3" t="s">
        <v>90</v>
      </c>
      <c r="I443" s="3" t="s">
        <v>110</v>
      </c>
      <c r="J443" s="3" t="s">
        <v>111</v>
      </c>
      <c r="K443" s="3" t="s">
        <v>58</v>
      </c>
      <c r="L443" s="3" t="s">
        <v>59</v>
      </c>
      <c r="M443" s="3" t="s">
        <v>60</v>
      </c>
      <c r="N443" s="3">
        <v>6</v>
      </c>
      <c r="O443" s="5">
        <v>0.2</v>
      </c>
      <c r="P443" s="6">
        <v>995.12</v>
      </c>
      <c r="Q443" s="6">
        <v>-165.78</v>
      </c>
    </row>
    <row r="444" spans="1:17" x14ac:dyDescent="0.3">
      <c r="A444" s="3">
        <v>443</v>
      </c>
      <c r="B444" s="3" t="s">
        <v>839</v>
      </c>
      <c r="C444" s="4">
        <v>44460</v>
      </c>
      <c r="D444" s="4">
        <v>44467</v>
      </c>
      <c r="E444" s="3" t="s">
        <v>62</v>
      </c>
      <c r="F444" s="3" t="s">
        <v>464</v>
      </c>
      <c r="G444" s="3" t="s">
        <v>30</v>
      </c>
      <c r="H444" s="3" t="s">
        <v>46</v>
      </c>
      <c r="I444" s="3" t="s">
        <v>257</v>
      </c>
      <c r="J444" s="3" t="s">
        <v>258</v>
      </c>
      <c r="K444" s="3" t="s">
        <v>25</v>
      </c>
      <c r="L444" s="3" t="s">
        <v>116</v>
      </c>
      <c r="M444" s="3" t="s">
        <v>202</v>
      </c>
      <c r="N444" s="3">
        <v>12</v>
      </c>
      <c r="O444" s="5">
        <v>0.1</v>
      </c>
      <c r="P444" s="6">
        <v>218.81</v>
      </c>
      <c r="Q444" s="6">
        <v>-14.34</v>
      </c>
    </row>
    <row r="445" spans="1:17" x14ac:dyDescent="0.3">
      <c r="A445" s="3">
        <v>444</v>
      </c>
      <c r="B445" s="3" t="s">
        <v>840</v>
      </c>
      <c r="C445" s="4">
        <v>44599</v>
      </c>
      <c r="D445" s="4">
        <v>44600</v>
      </c>
      <c r="E445" s="3" t="s">
        <v>62</v>
      </c>
      <c r="F445" s="3" t="s">
        <v>730</v>
      </c>
      <c r="G445" s="3" t="s">
        <v>30</v>
      </c>
      <c r="H445" s="3" t="s">
        <v>22</v>
      </c>
      <c r="I445" s="3" t="s">
        <v>23</v>
      </c>
      <c r="J445" s="3" t="s">
        <v>24</v>
      </c>
      <c r="K445" s="3" t="s">
        <v>58</v>
      </c>
      <c r="L445" s="3" t="s">
        <v>217</v>
      </c>
      <c r="M445" s="3" t="s">
        <v>232</v>
      </c>
      <c r="N445" s="3">
        <v>1</v>
      </c>
      <c r="O445" s="5">
        <v>0</v>
      </c>
      <c r="P445" s="6">
        <v>402.74</v>
      </c>
      <c r="Q445" s="6">
        <v>12.67</v>
      </c>
    </row>
    <row r="446" spans="1:17" x14ac:dyDescent="0.3">
      <c r="A446" s="3">
        <v>445</v>
      </c>
      <c r="B446" s="3" t="s">
        <v>841</v>
      </c>
      <c r="C446" s="4">
        <v>44606</v>
      </c>
      <c r="D446" s="4">
        <v>44608</v>
      </c>
      <c r="E446" s="3" t="s">
        <v>19</v>
      </c>
      <c r="F446" s="3" t="s">
        <v>842</v>
      </c>
      <c r="G446" s="3" t="s">
        <v>30</v>
      </c>
      <c r="H446" s="3" t="s">
        <v>22</v>
      </c>
      <c r="I446" s="3" t="s">
        <v>23</v>
      </c>
      <c r="J446" s="3" t="s">
        <v>24</v>
      </c>
      <c r="K446" s="3" t="s">
        <v>58</v>
      </c>
      <c r="L446" s="3" t="s">
        <v>86</v>
      </c>
      <c r="M446" s="3" t="s">
        <v>133</v>
      </c>
      <c r="N446" s="3">
        <v>11</v>
      </c>
      <c r="O446" s="5">
        <v>0</v>
      </c>
      <c r="P446" s="6">
        <v>2147.4299999999998</v>
      </c>
      <c r="Q446" s="6">
        <v>-349.31</v>
      </c>
    </row>
    <row r="447" spans="1:17" x14ac:dyDescent="0.3">
      <c r="A447" s="3">
        <v>446</v>
      </c>
      <c r="B447" s="3" t="s">
        <v>843</v>
      </c>
      <c r="C447" s="4">
        <v>44225</v>
      </c>
      <c r="D447" s="4">
        <v>44230</v>
      </c>
      <c r="E447" s="3" t="s">
        <v>56</v>
      </c>
      <c r="F447" s="3" t="s">
        <v>631</v>
      </c>
      <c r="G447" s="3" t="s">
        <v>39</v>
      </c>
      <c r="H447" s="3" t="s">
        <v>40</v>
      </c>
      <c r="I447" s="3" t="s">
        <v>223</v>
      </c>
      <c r="J447" s="3" t="s">
        <v>224</v>
      </c>
      <c r="K447" s="3" t="s">
        <v>25</v>
      </c>
      <c r="L447" s="3" t="s">
        <v>116</v>
      </c>
      <c r="M447" s="3" t="s">
        <v>117</v>
      </c>
      <c r="N447" s="3">
        <v>4</v>
      </c>
      <c r="O447" s="5">
        <v>0.15</v>
      </c>
      <c r="P447" s="6">
        <v>330.3</v>
      </c>
      <c r="Q447" s="6">
        <v>-48.53</v>
      </c>
    </row>
    <row r="448" spans="1:17" x14ac:dyDescent="0.3">
      <c r="A448" s="3">
        <v>447</v>
      </c>
      <c r="B448" s="3" t="s">
        <v>844</v>
      </c>
      <c r="C448" s="4">
        <v>44923</v>
      </c>
      <c r="D448" s="4">
        <v>44927</v>
      </c>
      <c r="E448" s="3" t="s">
        <v>19</v>
      </c>
      <c r="F448" s="3" t="s">
        <v>845</v>
      </c>
      <c r="G448" s="3" t="s">
        <v>21</v>
      </c>
      <c r="H448" s="3" t="s">
        <v>46</v>
      </c>
      <c r="I448" s="3" t="s">
        <v>47</v>
      </c>
      <c r="J448" s="3" t="s">
        <v>48</v>
      </c>
      <c r="K448" s="3" t="s">
        <v>33</v>
      </c>
      <c r="L448" s="3" t="s">
        <v>49</v>
      </c>
      <c r="M448" s="3" t="s">
        <v>208</v>
      </c>
      <c r="N448" s="3">
        <v>7</v>
      </c>
      <c r="O448" s="5">
        <v>0.1</v>
      </c>
      <c r="P448" s="6">
        <v>1151.82</v>
      </c>
      <c r="Q448" s="6">
        <v>-6.28</v>
      </c>
    </row>
    <row r="449" spans="1:17" x14ac:dyDescent="0.3">
      <c r="A449" s="3">
        <v>448</v>
      </c>
      <c r="B449" s="3" t="s">
        <v>846</v>
      </c>
      <c r="C449" s="4">
        <v>44365</v>
      </c>
      <c r="D449" s="4">
        <v>44368</v>
      </c>
      <c r="E449" s="3" t="s">
        <v>56</v>
      </c>
      <c r="F449" s="3" t="s">
        <v>847</v>
      </c>
      <c r="G449" s="3" t="s">
        <v>39</v>
      </c>
      <c r="H449" s="3" t="s">
        <v>90</v>
      </c>
      <c r="I449" s="3" t="s">
        <v>99</v>
      </c>
      <c r="J449" s="3" t="s">
        <v>100</v>
      </c>
      <c r="K449" s="3" t="s">
        <v>25</v>
      </c>
      <c r="L449" s="3" t="s">
        <v>80</v>
      </c>
      <c r="M449" s="3" t="s">
        <v>81</v>
      </c>
      <c r="N449" s="3">
        <v>8</v>
      </c>
      <c r="O449" s="5">
        <v>0.15</v>
      </c>
      <c r="P449" s="6">
        <v>119.61</v>
      </c>
      <c r="Q449" s="6">
        <v>2.89</v>
      </c>
    </row>
    <row r="450" spans="1:17" x14ac:dyDescent="0.3">
      <c r="A450" s="3">
        <v>449</v>
      </c>
      <c r="B450" s="3" t="s">
        <v>848</v>
      </c>
      <c r="C450" s="4">
        <v>45587</v>
      </c>
      <c r="D450" s="4">
        <v>45590</v>
      </c>
      <c r="E450" s="3" t="s">
        <v>62</v>
      </c>
      <c r="F450" s="3" t="s">
        <v>271</v>
      </c>
      <c r="G450" s="3" t="s">
        <v>39</v>
      </c>
      <c r="H450" s="3" t="s">
        <v>46</v>
      </c>
      <c r="I450" s="3" t="s">
        <v>146</v>
      </c>
      <c r="J450" s="3" t="s">
        <v>147</v>
      </c>
      <c r="K450" s="3" t="s">
        <v>33</v>
      </c>
      <c r="L450" s="3" t="s">
        <v>49</v>
      </c>
      <c r="M450" s="3" t="s">
        <v>478</v>
      </c>
      <c r="N450" s="3">
        <v>3</v>
      </c>
      <c r="O450" s="5">
        <v>0.4</v>
      </c>
      <c r="P450" s="6">
        <v>88.78</v>
      </c>
      <c r="Q450" s="6">
        <v>13.61</v>
      </c>
    </row>
    <row r="451" spans="1:17" x14ac:dyDescent="0.3">
      <c r="A451" s="3">
        <v>450</v>
      </c>
      <c r="B451" s="3" t="s">
        <v>849</v>
      </c>
      <c r="C451" s="4">
        <v>44405</v>
      </c>
      <c r="D451" s="4">
        <v>44411</v>
      </c>
      <c r="E451" s="3" t="s">
        <v>56</v>
      </c>
      <c r="F451" s="3" t="s">
        <v>98</v>
      </c>
      <c r="G451" s="3" t="s">
        <v>30</v>
      </c>
      <c r="H451" s="3" t="s">
        <v>22</v>
      </c>
      <c r="I451" s="3" t="s">
        <v>68</v>
      </c>
      <c r="J451" s="3" t="s">
        <v>69</v>
      </c>
      <c r="K451" s="3" t="s">
        <v>25</v>
      </c>
      <c r="L451" s="3" t="s">
        <v>53</v>
      </c>
      <c r="M451" s="3" t="s">
        <v>171</v>
      </c>
      <c r="N451" s="3">
        <v>3</v>
      </c>
      <c r="O451" s="5">
        <v>0.1</v>
      </c>
      <c r="P451" s="6">
        <v>28.04</v>
      </c>
      <c r="Q451" s="6">
        <v>-1.31</v>
      </c>
    </row>
    <row r="452" spans="1:17" x14ac:dyDescent="0.3">
      <c r="A452" s="3">
        <v>451</v>
      </c>
      <c r="B452" s="3" t="s">
        <v>850</v>
      </c>
      <c r="C452" s="4">
        <v>44926</v>
      </c>
      <c r="D452" s="4">
        <v>44930</v>
      </c>
      <c r="E452" s="3" t="s">
        <v>62</v>
      </c>
      <c r="F452" s="3" t="s">
        <v>851</v>
      </c>
      <c r="G452" s="3" t="s">
        <v>21</v>
      </c>
      <c r="H452" s="3" t="s">
        <v>46</v>
      </c>
      <c r="I452" s="3" t="s">
        <v>47</v>
      </c>
      <c r="J452" s="3" t="s">
        <v>48</v>
      </c>
      <c r="K452" s="3" t="s">
        <v>25</v>
      </c>
      <c r="L452" s="3" t="s">
        <v>53</v>
      </c>
      <c r="M452" s="3" t="s">
        <v>54</v>
      </c>
      <c r="N452" s="3">
        <v>11</v>
      </c>
      <c r="O452" s="5">
        <v>0.3</v>
      </c>
      <c r="P452" s="6">
        <v>732.47</v>
      </c>
      <c r="Q452" s="6">
        <v>250.88</v>
      </c>
    </row>
    <row r="453" spans="1:17" x14ac:dyDescent="0.3">
      <c r="A453" s="3">
        <v>452</v>
      </c>
      <c r="B453" s="3" t="s">
        <v>852</v>
      </c>
      <c r="C453" s="4">
        <v>45550</v>
      </c>
      <c r="D453" s="4">
        <v>45557</v>
      </c>
      <c r="E453" s="3" t="s">
        <v>37</v>
      </c>
      <c r="F453" s="3" t="s">
        <v>214</v>
      </c>
      <c r="G453" s="3" t="s">
        <v>30</v>
      </c>
      <c r="H453" s="3" t="s">
        <v>40</v>
      </c>
      <c r="I453" s="3" t="s">
        <v>41</v>
      </c>
      <c r="J453" s="3" t="s">
        <v>42</v>
      </c>
      <c r="K453" s="3" t="s">
        <v>25</v>
      </c>
      <c r="L453" s="3" t="s">
        <v>116</v>
      </c>
      <c r="M453" s="3" t="s">
        <v>202</v>
      </c>
      <c r="N453" s="3">
        <v>9</v>
      </c>
      <c r="O453" s="5">
        <v>0.4</v>
      </c>
      <c r="P453" s="6">
        <v>733.18</v>
      </c>
      <c r="Q453" s="6">
        <v>-94.46</v>
      </c>
    </row>
    <row r="454" spans="1:17" x14ac:dyDescent="0.3">
      <c r="A454" s="3">
        <v>453</v>
      </c>
      <c r="B454" s="3" t="s">
        <v>853</v>
      </c>
      <c r="C454" s="4">
        <v>45118</v>
      </c>
      <c r="D454" s="4">
        <v>45121</v>
      </c>
      <c r="E454" s="3" t="s">
        <v>19</v>
      </c>
      <c r="F454" s="3" t="s">
        <v>196</v>
      </c>
      <c r="G454" s="3" t="s">
        <v>39</v>
      </c>
      <c r="H454" s="3" t="s">
        <v>22</v>
      </c>
      <c r="I454" s="3" t="s">
        <v>23</v>
      </c>
      <c r="J454" s="3" t="s">
        <v>24</v>
      </c>
      <c r="K454" s="3" t="s">
        <v>58</v>
      </c>
      <c r="L454" s="3" t="s">
        <v>59</v>
      </c>
      <c r="M454" s="3" t="s">
        <v>220</v>
      </c>
      <c r="N454" s="3">
        <v>14</v>
      </c>
      <c r="O454" s="5">
        <v>0.4</v>
      </c>
      <c r="P454" s="6">
        <v>2548.7399999999998</v>
      </c>
      <c r="Q454" s="6">
        <v>-582.16</v>
      </c>
    </row>
    <row r="455" spans="1:17" x14ac:dyDescent="0.3">
      <c r="A455" s="3">
        <v>454</v>
      </c>
      <c r="B455" s="3" t="s">
        <v>854</v>
      </c>
      <c r="C455" s="4">
        <v>44421</v>
      </c>
      <c r="D455" s="4">
        <v>44426</v>
      </c>
      <c r="E455" s="3" t="s">
        <v>37</v>
      </c>
      <c r="F455" s="3" t="s">
        <v>855</v>
      </c>
      <c r="G455" s="3" t="s">
        <v>30</v>
      </c>
      <c r="H455" s="3" t="s">
        <v>90</v>
      </c>
      <c r="I455" s="3" t="s">
        <v>110</v>
      </c>
      <c r="J455" s="3" t="s">
        <v>111</v>
      </c>
      <c r="K455" s="3" t="s">
        <v>33</v>
      </c>
      <c r="L455" s="3" t="s">
        <v>34</v>
      </c>
      <c r="M455" s="3" t="s">
        <v>597</v>
      </c>
      <c r="N455" s="3">
        <v>11</v>
      </c>
      <c r="O455" s="5">
        <v>0.4</v>
      </c>
      <c r="P455" s="6">
        <v>3447.28</v>
      </c>
      <c r="Q455" s="6">
        <v>122.54</v>
      </c>
    </row>
    <row r="456" spans="1:17" x14ac:dyDescent="0.3">
      <c r="A456" s="3">
        <v>455</v>
      </c>
      <c r="B456" s="3" t="s">
        <v>856</v>
      </c>
      <c r="C456" s="4">
        <v>44853</v>
      </c>
      <c r="D456" s="4">
        <v>44854</v>
      </c>
      <c r="E456" s="3" t="s">
        <v>37</v>
      </c>
      <c r="F456" s="3" t="s">
        <v>857</v>
      </c>
      <c r="G456" s="3" t="s">
        <v>39</v>
      </c>
      <c r="H456" s="3" t="s">
        <v>90</v>
      </c>
      <c r="I456" s="3" t="s">
        <v>91</v>
      </c>
      <c r="J456" s="3" t="s">
        <v>92</v>
      </c>
      <c r="K456" s="3" t="s">
        <v>58</v>
      </c>
      <c r="L456" s="3" t="s">
        <v>199</v>
      </c>
      <c r="M456" s="3" t="s">
        <v>200</v>
      </c>
      <c r="N456" s="3">
        <v>1</v>
      </c>
      <c r="O456" s="5">
        <v>0</v>
      </c>
      <c r="P456" s="6">
        <v>307.52</v>
      </c>
      <c r="Q456" s="6">
        <v>77.540000000000006</v>
      </c>
    </row>
    <row r="457" spans="1:17" x14ac:dyDescent="0.3">
      <c r="A457" s="3">
        <v>456</v>
      </c>
      <c r="B457" s="3" t="s">
        <v>858</v>
      </c>
      <c r="C457" s="4">
        <v>44916</v>
      </c>
      <c r="D457" s="4">
        <v>44917</v>
      </c>
      <c r="E457" s="3" t="s">
        <v>37</v>
      </c>
      <c r="F457" s="3" t="s">
        <v>149</v>
      </c>
      <c r="G457" s="3" t="s">
        <v>21</v>
      </c>
      <c r="H457" s="3" t="s">
        <v>90</v>
      </c>
      <c r="I457" s="3" t="s">
        <v>169</v>
      </c>
      <c r="J457" s="3" t="s">
        <v>170</v>
      </c>
      <c r="K457" s="3" t="s">
        <v>25</v>
      </c>
      <c r="L457" s="3" t="s">
        <v>106</v>
      </c>
      <c r="M457" s="3" t="s">
        <v>107</v>
      </c>
      <c r="N457" s="3">
        <v>11</v>
      </c>
      <c r="O457" s="5">
        <v>0.1</v>
      </c>
      <c r="P457" s="6">
        <v>328.84</v>
      </c>
      <c r="Q457" s="6">
        <v>45.66</v>
      </c>
    </row>
    <row r="458" spans="1:17" x14ac:dyDescent="0.3">
      <c r="A458" s="3">
        <v>457</v>
      </c>
      <c r="B458" s="3" t="s">
        <v>859</v>
      </c>
      <c r="C458" s="4">
        <v>45611</v>
      </c>
      <c r="D458" s="4">
        <v>45617</v>
      </c>
      <c r="E458" s="3" t="s">
        <v>56</v>
      </c>
      <c r="F458" s="3" t="s">
        <v>860</v>
      </c>
      <c r="G458" s="3" t="s">
        <v>21</v>
      </c>
      <c r="H458" s="3" t="s">
        <v>90</v>
      </c>
      <c r="I458" s="3" t="s">
        <v>99</v>
      </c>
      <c r="J458" s="3" t="s">
        <v>100</v>
      </c>
      <c r="K458" s="3" t="s">
        <v>25</v>
      </c>
      <c r="L458" s="3" t="s">
        <v>74</v>
      </c>
      <c r="M458" s="3" t="s">
        <v>75</v>
      </c>
      <c r="N458" s="3">
        <v>4</v>
      </c>
      <c r="O458" s="5">
        <v>0.2</v>
      </c>
      <c r="P458" s="6">
        <v>156.58000000000001</v>
      </c>
      <c r="Q458" s="6">
        <v>-23.49</v>
      </c>
    </row>
    <row r="459" spans="1:17" x14ac:dyDescent="0.3">
      <c r="A459" s="3">
        <v>458</v>
      </c>
      <c r="B459" s="3" t="s">
        <v>861</v>
      </c>
      <c r="C459" s="4">
        <v>44805</v>
      </c>
      <c r="D459" s="4">
        <v>44810</v>
      </c>
      <c r="E459" s="3" t="s">
        <v>62</v>
      </c>
      <c r="F459" s="3" t="s">
        <v>862</v>
      </c>
      <c r="G459" s="3" t="s">
        <v>30</v>
      </c>
      <c r="H459" s="3" t="s">
        <v>22</v>
      </c>
      <c r="I459" s="3" t="s">
        <v>31</v>
      </c>
      <c r="J459" s="3" t="s">
        <v>32</v>
      </c>
      <c r="K459" s="3" t="s">
        <v>33</v>
      </c>
      <c r="L459" s="3" t="s">
        <v>64</v>
      </c>
      <c r="M459" s="3" t="s">
        <v>126</v>
      </c>
      <c r="N459" s="3">
        <v>7</v>
      </c>
      <c r="O459" s="5">
        <v>0</v>
      </c>
      <c r="P459" s="6">
        <v>3976.75</v>
      </c>
      <c r="Q459" s="6">
        <v>718.3</v>
      </c>
    </row>
    <row r="460" spans="1:17" x14ac:dyDescent="0.3">
      <c r="A460" s="3">
        <v>459</v>
      </c>
      <c r="B460" s="3" t="s">
        <v>863</v>
      </c>
      <c r="C460" s="4">
        <v>45230</v>
      </c>
      <c r="D460" s="4">
        <v>45237</v>
      </c>
      <c r="E460" s="3" t="s">
        <v>56</v>
      </c>
      <c r="F460" s="3" t="s">
        <v>864</v>
      </c>
      <c r="G460" s="3" t="s">
        <v>39</v>
      </c>
      <c r="H460" s="3" t="s">
        <v>90</v>
      </c>
      <c r="I460" s="3" t="s">
        <v>110</v>
      </c>
      <c r="J460" s="3" t="s">
        <v>111</v>
      </c>
      <c r="K460" s="3" t="s">
        <v>33</v>
      </c>
      <c r="L460" s="3" t="s">
        <v>49</v>
      </c>
      <c r="M460" s="3" t="s">
        <v>286</v>
      </c>
      <c r="N460" s="3">
        <v>5</v>
      </c>
      <c r="O460" s="5">
        <v>0.2</v>
      </c>
      <c r="P460" s="6">
        <v>1490.91</v>
      </c>
      <c r="Q460" s="6">
        <v>-193.75</v>
      </c>
    </row>
    <row r="461" spans="1:17" x14ac:dyDescent="0.3">
      <c r="A461" s="3">
        <v>460</v>
      </c>
      <c r="B461" s="3" t="s">
        <v>865</v>
      </c>
      <c r="C461" s="4">
        <v>45378</v>
      </c>
      <c r="D461" s="4">
        <v>45382</v>
      </c>
      <c r="E461" s="3" t="s">
        <v>19</v>
      </c>
      <c r="F461" s="3" t="s">
        <v>866</v>
      </c>
      <c r="G461" s="3" t="s">
        <v>39</v>
      </c>
      <c r="H461" s="3" t="s">
        <v>40</v>
      </c>
      <c r="I461" s="3" t="s">
        <v>158</v>
      </c>
      <c r="J461" s="3" t="s">
        <v>159</v>
      </c>
      <c r="K461" s="3" t="s">
        <v>25</v>
      </c>
      <c r="L461" s="3" t="s">
        <v>80</v>
      </c>
      <c r="M461" s="3" t="s">
        <v>81</v>
      </c>
      <c r="N461" s="3">
        <v>4</v>
      </c>
      <c r="O461" s="5">
        <v>0.4</v>
      </c>
      <c r="P461" s="6">
        <v>281.51</v>
      </c>
      <c r="Q461" s="6">
        <v>-25.12</v>
      </c>
    </row>
    <row r="462" spans="1:17" x14ac:dyDescent="0.3">
      <c r="A462" s="3">
        <v>461</v>
      </c>
      <c r="B462" s="3" t="s">
        <v>867</v>
      </c>
      <c r="C462" s="4">
        <v>45088</v>
      </c>
      <c r="D462" s="4">
        <v>45092</v>
      </c>
      <c r="E462" s="3" t="s">
        <v>19</v>
      </c>
      <c r="F462" s="3" t="s">
        <v>779</v>
      </c>
      <c r="G462" s="3" t="s">
        <v>39</v>
      </c>
      <c r="H462" s="3" t="s">
        <v>46</v>
      </c>
      <c r="I462" s="3" t="s">
        <v>146</v>
      </c>
      <c r="J462" s="3" t="s">
        <v>147</v>
      </c>
      <c r="K462" s="3" t="s">
        <v>33</v>
      </c>
      <c r="L462" s="3" t="s">
        <v>95</v>
      </c>
      <c r="M462" s="3" t="s">
        <v>96</v>
      </c>
      <c r="N462" s="3">
        <v>6</v>
      </c>
      <c r="O462" s="5">
        <v>0</v>
      </c>
      <c r="P462" s="6">
        <v>3633.75</v>
      </c>
      <c r="Q462" s="6">
        <v>473.68</v>
      </c>
    </row>
    <row r="463" spans="1:17" x14ac:dyDescent="0.3">
      <c r="A463" s="3">
        <v>462</v>
      </c>
      <c r="B463" s="3" t="s">
        <v>868</v>
      </c>
      <c r="C463" s="4">
        <v>44504</v>
      </c>
      <c r="D463" s="4">
        <v>44506</v>
      </c>
      <c r="E463" s="3" t="s">
        <v>19</v>
      </c>
      <c r="F463" s="3" t="s">
        <v>807</v>
      </c>
      <c r="G463" s="3" t="s">
        <v>21</v>
      </c>
      <c r="H463" s="3" t="s">
        <v>46</v>
      </c>
      <c r="I463" s="3" t="s">
        <v>47</v>
      </c>
      <c r="J463" s="3" t="s">
        <v>48</v>
      </c>
      <c r="K463" s="3" t="s">
        <v>25</v>
      </c>
      <c r="L463" s="3" t="s">
        <v>26</v>
      </c>
      <c r="M463" s="3" t="s">
        <v>27</v>
      </c>
      <c r="N463" s="3">
        <v>1</v>
      </c>
      <c r="O463" s="5">
        <v>0.15</v>
      </c>
      <c r="P463" s="6">
        <v>29.59</v>
      </c>
      <c r="Q463" s="6">
        <v>0.84</v>
      </c>
    </row>
    <row r="464" spans="1:17" x14ac:dyDescent="0.3">
      <c r="A464" s="3">
        <v>463</v>
      </c>
      <c r="B464" s="3" t="s">
        <v>869</v>
      </c>
      <c r="C464" s="4">
        <v>45324</v>
      </c>
      <c r="D464" s="4">
        <v>45326</v>
      </c>
      <c r="E464" s="3" t="s">
        <v>37</v>
      </c>
      <c r="F464" s="3" t="s">
        <v>336</v>
      </c>
      <c r="G464" s="3" t="s">
        <v>39</v>
      </c>
      <c r="H464" s="3" t="s">
        <v>46</v>
      </c>
      <c r="I464" s="3" t="s">
        <v>78</v>
      </c>
      <c r="J464" s="3" t="s">
        <v>79</v>
      </c>
      <c r="K464" s="3" t="s">
        <v>33</v>
      </c>
      <c r="L464" s="3" t="s">
        <v>64</v>
      </c>
      <c r="M464" s="3" t="s">
        <v>65</v>
      </c>
      <c r="N464" s="3">
        <v>11</v>
      </c>
      <c r="O464" s="5">
        <v>0.4</v>
      </c>
      <c r="P464" s="6">
        <v>5812.37</v>
      </c>
      <c r="Q464" s="6">
        <v>1274.8900000000001</v>
      </c>
    </row>
    <row r="465" spans="1:17" x14ac:dyDescent="0.3">
      <c r="A465" s="3">
        <v>464</v>
      </c>
      <c r="B465" s="3" t="s">
        <v>870</v>
      </c>
      <c r="C465" s="4">
        <v>44484</v>
      </c>
      <c r="D465" s="4">
        <v>44486</v>
      </c>
      <c r="E465" s="3" t="s">
        <v>62</v>
      </c>
      <c r="F465" s="3" t="s">
        <v>871</v>
      </c>
      <c r="G465" s="3" t="s">
        <v>21</v>
      </c>
      <c r="H465" s="3" t="s">
        <v>22</v>
      </c>
      <c r="I465" s="3" t="s">
        <v>84</v>
      </c>
      <c r="J465" s="3" t="s">
        <v>85</v>
      </c>
      <c r="K465" s="3" t="s">
        <v>58</v>
      </c>
      <c r="L465" s="3" t="s">
        <v>59</v>
      </c>
      <c r="M465" s="3" t="s">
        <v>220</v>
      </c>
      <c r="N465" s="3">
        <v>2</v>
      </c>
      <c r="O465" s="5">
        <v>0</v>
      </c>
      <c r="P465" s="6">
        <v>596.71</v>
      </c>
      <c r="Q465" s="6">
        <v>37.700000000000003</v>
      </c>
    </row>
    <row r="466" spans="1:17" x14ac:dyDescent="0.3">
      <c r="A466" s="3">
        <v>465</v>
      </c>
      <c r="B466" s="3" t="s">
        <v>872</v>
      </c>
      <c r="C466" s="4">
        <v>45063</v>
      </c>
      <c r="D466" s="4">
        <v>45065</v>
      </c>
      <c r="E466" s="3" t="s">
        <v>62</v>
      </c>
      <c r="F466" s="3" t="s">
        <v>873</v>
      </c>
      <c r="G466" s="3" t="s">
        <v>39</v>
      </c>
      <c r="H466" s="3" t="s">
        <v>46</v>
      </c>
      <c r="I466" s="3" t="s">
        <v>281</v>
      </c>
      <c r="J466" s="3" t="s">
        <v>282</v>
      </c>
      <c r="K466" s="3" t="s">
        <v>58</v>
      </c>
      <c r="L466" s="3" t="s">
        <v>217</v>
      </c>
      <c r="M466" s="3" t="s">
        <v>232</v>
      </c>
      <c r="N466" s="3">
        <v>3</v>
      </c>
      <c r="O466" s="5">
        <v>0.1</v>
      </c>
      <c r="P466" s="6">
        <v>233.39</v>
      </c>
      <c r="Q466" s="6">
        <v>77.47</v>
      </c>
    </row>
    <row r="467" spans="1:17" x14ac:dyDescent="0.3">
      <c r="A467" s="3">
        <v>466</v>
      </c>
      <c r="B467" s="3" t="s">
        <v>874</v>
      </c>
      <c r="C467" s="4">
        <v>45314</v>
      </c>
      <c r="D467" s="4">
        <v>45318</v>
      </c>
      <c r="E467" s="3" t="s">
        <v>37</v>
      </c>
      <c r="F467" s="3" t="s">
        <v>614</v>
      </c>
      <c r="G467" s="3" t="s">
        <v>39</v>
      </c>
      <c r="H467" s="3" t="s">
        <v>90</v>
      </c>
      <c r="I467" s="3" t="s">
        <v>91</v>
      </c>
      <c r="J467" s="3" t="s">
        <v>92</v>
      </c>
      <c r="K467" s="3" t="s">
        <v>25</v>
      </c>
      <c r="L467" s="3" t="s">
        <v>116</v>
      </c>
      <c r="M467" s="3" t="s">
        <v>166</v>
      </c>
      <c r="N467" s="3">
        <v>8</v>
      </c>
      <c r="O467" s="5">
        <v>0.15</v>
      </c>
      <c r="P467" s="6">
        <v>630.78</v>
      </c>
      <c r="Q467" s="6">
        <v>175.14</v>
      </c>
    </row>
    <row r="468" spans="1:17" x14ac:dyDescent="0.3">
      <c r="A468" s="3">
        <v>467</v>
      </c>
      <c r="B468" s="3" t="s">
        <v>875</v>
      </c>
      <c r="C468" s="4">
        <v>45553</v>
      </c>
      <c r="D468" s="4">
        <v>45560</v>
      </c>
      <c r="E468" s="3" t="s">
        <v>62</v>
      </c>
      <c r="F468" s="3" t="s">
        <v>132</v>
      </c>
      <c r="G468" s="3" t="s">
        <v>39</v>
      </c>
      <c r="H468" s="3" t="s">
        <v>46</v>
      </c>
      <c r="I468" s="3" t="s">
        <v>257</v>
      </c>
      <c r="J468" s="3" t="s">
        <v>258</v>
      </c>
      <c r="K468" s="3" t="s">
        <v>25</v>
      </c>
      <c r="L468" s="3" t="s">
        <v>80</v>
      </c>
      <c r="M468" s="3" t="s">
        <v>81</v>
      </c>
      <c r="N468" s="3">
        <v>1</v>
      </c>
      <c r="O468" s="5">
        <v>0.1</v>
      </c>
      <c r="P468" s="6">
        <v>81</v>
      </c>
      <c r="Q468" s="6">
        <v>-7.96</v>
      </c>
    </row>
    <row r="469" spans="1:17" x14ac:dyDescent="0.3">
      <c r="A469" s="3">
        <v>468</v>
      </c>
      <c r="B469" s="3" t="s">
        <v>876</v>
      </c>
      <c r="C469" s="4">
        <v>44813</v>
      </c>
      <c r="D469" s="4">
        <v>44814</v>
      </c>
      <c r="E469" s="3" t="s">
        <v>56</v>
      </c>
      <c r="F469" s="3" t="s">
        <v>229</v>
      </c>
      <c r="G469" s="3" t="s">
        <v>39</v>
      </c>
      <c r="H469" s="3" t="s">
        <v>40</v>
      </c>
      <c r="I469" s="3" t="s">
        <v>185</v>
      </c>
      <c r="J469" s="3" t="s">
        <v>186</v>
      </c>
      <c r="K469" s="3" t="s">
        <v>25</v>
      </c>
      <c r="L469" s="3" t="s">
        <v>74</v>
      </c>
      <c r="M469" s="3" t="s">
        <v>180</v>
      </c>
      <c r="N469" s="3">
        <v>14</v>
      </c>
      <c r="O469" s="5">
        <v>0.15</v>
      </c>
      <c r="P469" s="6">
        <v>1220.5</v>
      </c>
      <c r="Q469" s="6">
        <v>-151.06</v>
      </c>
    </row>
    <row r="470" spans="1:17" x14ac:dyDescent="0.3">
      <c r="A470" s="3">
        <v>469</v>
      </c>
      <c r="B470" s="3" t="s">
        <v>877</v>
      </c>
      <c r="C470" s="4">
        <v>45042</v>
      </c>
      <c r="D470" s="4">
        <v>45049</v>
      </c>
      <c r="E470" s="3" t="s">
        <v>56</v>
      </c>
      <c r="F470" s="3" t="s">
        <v>878</v>
      </c>
      <c r="G470" s="3" t="s">
        <v>30</v>
      </c>
      <c r="H470" s="3" t="s">
        <v>22</v>
      </c>
      <c r="I470" s="3" t="s">
        <v>72</v>
      </c>
      <c r="J470" s="3" t="s">
        <v>73</v>
      </c>
      <c r="K470" s="3" t="s">
        <v>58</v>
      </c>
      <c r="L470" s="3" t="s">
        <v>217</v>
      </c>
      <c r="M470" s="3" t="s">
        <v>218</v>
      </c>
      <c r="N470" s="3">
        <v>6</v>
      </c>
      <c r="O470" s="5">
        <v>0</v>
      </c>
      <c r="P470" s="6">
        <v>2203.0300000000002</v>
      </c>
      <c r="Q470" s="6">
        <v>538.95000000000005</v>
      </c>
    </row>
    <row r="471" spans="1:17" x14ac:dyDescent="0.3">
      <c r="A471" s="3">
        <v>470</v>
      </c>
      <c r="B471" s="3" t="s">
        <v>879</v>
      </c>
      <c r="C471" s="4">
        <v>45510</v>
      </c>
      <c r="D471" s="4">
        <v>45512</v>
      </c>
      <c r="E471" s="3" t="s">
        <v>62</v>
      </c>
      <c r="F471" s="3" t="s">
        <v>880</v>
      </c>
      <c r="G471" s="3" t="s">
        <v>39</v>
      </c>
      <c r="H471" s="3" t="s">
        <v>46</v>
      </c>
      <c r="I471" s="3" t="s">
        <v>146</v>
      </c>
      <c r="J471" s="3" t="s">
        <v>147</v>
      </c>
      <c r="K471" s="3" t="s">
        <v>25</v>
      </c>
      <c r="L471" s="3" t="s">
        <v>116</v>
      </c>
      <c r="M471" s="3" t="s">
        <v>117</v>
      </c>
      <c r="N471" s="3">
        <v>11</v>
      </c>
      <c r="O471" s="5">
        <v>0</v>
      </c>
      <c r="P471" s="6">
        <v>597.54</v>
      </c>
      <c r="Q471" s="6">
        <v>-148.28</v>
      </c>
    </row>
    <row r="472" spans="1:17" x14ac:dyDescent="0.3">
      <c r="A472" s="3">
        <v>471</v>
      </c>
      <c r="B472" s="3" t="s">
        <v>881</v>
      </c>
      <c r="C472" s="4">
        <v>44463</v>
      </c>
      <c r="D472" s="4">
        <v>44470</v>
      </c>
      <c r="E472" s="3" t="s">
        <v>37</v>
      </c>
      <c r="F472" s="3" t="s">
        <v>141</v>
      </c>
      <c r="G472" s="3" t="s">
        <v>39</v>
      </c>
      <c r="H472" s="3" t="s">
        <v>22</v>
      </c>
      <c r="I472" s="3" t="s">
        <v>68</v>
      </c>
      <c r="J472" s="3" t="s">
        <v>69</v>
      </c>
      <c r="K472" s="3" t="s">
        <v>25</v>
      </c>
      <c r="L472" s="3" t="s">
        <v>53</v>
      </c>
      <c r="M472" s="3" t="s">
        <v>171</v>
      </c>
      <c r="N472" s="3">
        <v>10</v>
      </c>
      <c r="O472" s="5">
        <v>0.2</v>
      </c>
      <c r="P472" s="6">
        <v>779.44</v>
      </c>
      <c r="Q472" s="6">
        <v>16.29</v>
      </c>
    </row>
    <row r="473" spans="1:17" x14ac:dyDescent="0.3">
      <c r="A473" s="3">
        <v>472</v>
      </c>
      <c r="B473" s="3" t="s">
        <v>882</v>
      </c>
      <c r="C473" s="4">
        <v>45002</v>
      </c>
      <c r="D473" s="4">
        <v>45006</v>
      </c>
      <c r="E473" s="3" t="s">
        <v>19</v>
      </c>
      <c r="F473" s="3" t="s">
        <v>883</v>
      </c>
      <c r="G473" s="3" t="s">
        <v>39</v>
      </c>
      <c r="H473" s="3" t="s">
        <v>46</v>
      </c>
      <c r="I473" s="3" t="s">
        <v>78</v>
      </c>
      <c r="J473" s="3" t="s">
        <v>79</v>
      </c>
      <c r="K473" s="3" t="s">
        <v>33</v>
      </c>
      <c r="L473" s="3" t="s">
        <v>64</v>
      </c>
      <c r="M473" s="3" t="s">
        <v>126</v>
      </c>
      <c r="N473" s="3">
        <v>14</v>
      </c>
      <c r="O473" s="5">
        <v>0.1</v>
      </c>
      <c r="P473" s="6">
        <v>8445.82</v>
      </c>
      <c r="Q473" s="6">
        <v>-2006.38</v>
      </c>
    </row>
    <row r="474" spans="1:17" x14ac:dyDescent="0.3">
      <c r="A474" s="3">
        <v>473</v>
      </c>
      <c r="B474" s="3" t="s">
        <v>884</v>
      </c>
      <c r="C474" s="4">
        <v>44656</v>
      </c>
      <c r="D474" s="4">
        <v>44662</v>
      </c>
      <c r="E474" s="3" t="s">
        <v>19</v>
      </c>
      <c r="F474" s="3" t="s">
        <v>347</v>
      </c>
      <c r="G474" s="3" t="s">
        <v>30</v>
      </c>
      <c r="H474" s="3" t="s">
        <v>90</v>
      </c>
      <c r="I474" s="3" t="s">
        <v>110</v>
      </c>
      <c r="J474" s="3" t="s">
        <v>111</v>
      </c>
      <c r="K474" s="3" t="s">
        <v>58</v>
      </c>
      <c r="L474" s="3" t="s">
        <v>217</v>
      </c>
      <c r="M474" s="3" t="s">
        <v>232</v>
      </c>
      <c r="N474" s="3">
        <v>4</v>
      </c>
      <c r="O474" s="5">
        <v>0.15</v>
      </c>
      <c r="P474" s="6">
        <v>456.7</v>
      </c>
      <c r="Q474" s="6">
        <v>-35.270000000000003</v>
      </c>
    </row>
    <row r="475" spans="1:17" x14ac:dyDescent="0.3">
      <c r="A475" s="3">
        <v>474</v>
      </c>
      <c r="B475" s="3" t="s">
        <v>885</v>
      </c>
      <c r="C475" s="4">
        <v>44566</v>
      </c>
      <c r="D475" s="4">
        <v>44570</v>
      </c>
      <c r="E475" s="3" t="s">
        <v>37</v>
      </c>
      <c r="F475" s="3" t="s">
        <v>330</v>
      </c>
      <c r="G475" s="3" t="s">
        <v>21</v>
      </c>
      <c r="H475" s="3" t="s">
        <v>40</v>
      </c>
      <c r="I475" s="3" t="s">
        <v>41</v>
      </c>
      <c r="J475" s="3" t="s">
        <v>42</v>
      </c>
      <c r="K475" s="3" t="s">
        <v>25</v>
      </c>
      <c r="L475" s="3" t="s">
        <v>26</v>
      </c>
      <c r="M475" s="3" t="s">
        <v>259</v>
      </c>
      <c r="N475" s="3">
        <v>13</v>
      </c>
      <c r="O475" s="5">
        <v>0.15</v>
      </c>
      <c r="P475" s="6">
        <v>238.63</v>
      </c>
      <c r="Q475" s="6">
        <v>80.099999999999994</v>
      </c>
    </row>
    <row r="476" spans="1:17" x14ac:dyDescent="0.3">
      <c r="A476" s="3">
        <v>475</v>
      </c>
      <c r="B476" s="3" t="s">
        <v>886</v>
      </c>
      <c r="C476" s="4">
        <v>45616</v>
      </c>
      <c r="D476" s="4">
        <v>45620</v>
      </c>
      <c r="E476" s="3" t="s">
        <v>62</v>
      </c>
      <c r="F476" s="3" t="s">
        <v>887</v>
      </c>
      <c r="G476" s="3" t="s">
        <v>39</v>
      </c>
      <c r="H476" s="3" t="s">
        <v>90</v>
      </c>
      <c r="I476" s="3" t="s">
        <v>169</v>
      </c>
      <c r="J476" s="3" t="s">
        <v>170</v>
      </c>
      <c r="K476" s="3" t="s">
        <v>33</v>
      </c>
      <c r="L476" s="3" t="s">
        <v>95</v>
      </c>
      <c r="M476" s="3" t="s">
        <v>96</v>
      </c>
      <c r="N476" s="3">
        <v>11</v>
      </c>
      <c r="O476" s="5">
        <v>0.3</v>
      </c>
      <c r="P476" s="6">
        <v>1684.15</v>
      </c>
      <c r="Q476" s="6">
        <v>294.85000000000002</v>
      </c>
    </row>
    <row r="477" spans="1:17" x14ac:dyDescent="0.3">
      <c r="A477" s="3">
        <v>476</v>
      </c>
      <c r="B477" s="3" t="s">
        <v>888</v>
      </c>
      <c r="C477" s="4">
        <v>45438</v>
      </c>
      <c r="D477" s="4">
        <v>45444</v>
      </c>
      <c r="E477" s="3" t="s">
        <v>37</v>
      </c>
      <c r="F477" s="3" t="s">
        <v>83</v>
      </c>
      <c r="G477" s="3" t="s">
        <v>39</v>
      </c>
      <c r="H477" s="3" t="s">
        <v>22</v>
      </c>
      <c r="I477" s="3" t="s">
        <v>72</v>
      </c>
      <c r="J477" s="3" t="s">
        <v>73</v>
      </c>
      <c r="K477" s="3" t="s">
        <v>58</v>
      </c>
      <c r="L477" s="3" t="s">
        <v>217</v>
      </c>
      <c r="M477" s="3" t="s">
        <v>218</v>
      </c>
      <c r="N477" s="3">
        <v>13</v>
      </c>
      <c r="O477" s="5">
        <v>0</v>
      </c>
      <c r="P477" s="6">
        <v>4045.2</v>
      </c>
      <c r="Q477" s="6">
        <v>-998.29</v>
      </c>
    </row>
    <row r="478" spans="1:17" x14ac:dyDescent="0.3">
      <c r="A478" s="3">
        <v>477</v>
      </c>
      <c r="B478" s="3" t="s">
        <v>889</v>
      </c>
      <c r="C478" s="4">
        <v>44544</v>
      </c>
      <c r="D478" s="4">
        <v>44549</v>
      </c>
      <c r="E478" s="3" t="s">
        <v>37</v>
      </c>
      <c r="F478" s="3" t="s">
        <v>340</v>
      </c>
      <c r="G478" s="3" t="s">
        <v>21</v>
      </c>
      <c r="H478" s="3" t="s">
        <v>40</v>
      </c>
      <c r="I478" s="3" t="s">
        <v>223</v>
      </c>
      <c r="J478" s="3" t="s">
        <v>224</v>
      </c>
      <c r="K478" s="3" t="s">
        <v>33</v>
      </c>
      <c r="L478" s="3" t="s">
        <v>95</v>
      </c>
      <c r="M478" s="3" t="s">
        <v>96</v>
      </c>
      <c r="N478" s="3">
        <v>8</v>
      </c>
      <c r="O478" s="5">
        <v>0.4</v>
      </c>
      <c r="P478" s="6">
        <v>4596.91</v>
      </c>
      <c r="Q478" s="6">
        <v>-785.37</v>
      </c>
    </row>
    <row r="479" spans="1:17" x14ac:dyDescent="0.3">
      <c r="A479" s="3">
        <v>478</v>
      </c>
      <c r="B479" s="3" t="s">
        <v>890</v>
      </c>
      <c r="C479" s="4">
        <v>44772</v>
      </c>
      <c r="D479" s="4">
        <v>44778</v>
      </c>
      <c r="E479" s="3" t="s">
        <v>37</v>
      </c>
      <c r="F479" s="3" t="s">
        <v>519</v>
      </c>
      <c r="G479" s="3" t="s">
        <v>39</v>
      </c>
      <c r="H479" s="3" t="s">
        <v>22</v>
      </c>
      <c r="I479" s="3" t="s">
        <v>72</v>
      </c>
      <c r="J479" s="3" t="s">
        <v>73</v>
      </c>
      <c r="K479" s="3" t="s">
        <v>33</v>
      </c>
      <c r="L479" s="3" t="s">
        <v>95</v>
      </c>
      <c r="M479" s="3" t="s">
        <v>120</v>
      </c>
      <c r="N479" s="3">
        <v>6</v>
      </c>
      <c r="O479" s="5">
        <v>0.15</v>
      </c>
      <c r="P479" s="6">
        <v>3725.7</v>
      </c>
      <c r="Q479" s="6">
        <v>1086.7</v>
      </c>
    </row>
    <row r="480" spans="1:17" x14ac:dyDescent="0.3">
      <c r="A480" s="3">
        <v>479</v>
      </c>
      <c r="B480" s="3" t="s">
        <v>891</v>
      </c>
      <c r="C480" s="4">
        <v>45335</v>
      </c>
      <c r="D480" s="4">
        <v>45342</v>
      </c>
      <c r="E480" s="3" t="s">
        <v>62</v>
      </c>
      <c r="F480" s="3" t="s">
        <v>285</v>
      </c>
      <c r="G480" s="3" t="s">
        <v>21</v>
      </c>
      <c r="H480" s="3" t="s">
        <v>90</v>
      </c>
      <c r="I480" s="3" t="s">
        <v>104</v>
      </c>
      <c r="J480" s="3" t="s">
        <v>105</v>
      </c>
      <c r="K480" s="3" t="s">
        <v>25</v>
      </c>
      <c r="L480" s="3" t="s">
        <v>74</v>
      </c>
      <c r="M480" s="3" t="s">
        <v>75</v>
      </c>
      <c r="N480" s="3">
        <v>11</v>
      </c>
      <c r="O480" s="5">
        <v>0.4</v>
      </c>
      <c r="P480" s="6">
        <v>746.57</v>
      </c>
      <c r="Q480" s="6">
        <v>-162.80000000000001</v>
      </c>
    </row>
    <row r="481" spans="1:17" x14ac:dyDescent="0.3">
      <c r="A481" s="3">
        <v>480</v>
      </c>
      <c r="B481" s="3" t="s">
        <v>892</v>
      </c>
      <c r="C481" s="4">
        <v>44434</v>
      </c>
      <c r="D481" s="4">
        <v>44438</v>
      </c>
      <c r="E481" s="3" t="s">
        <v>62</v>
      </c>
      <c r="F481" s="3" t="s">
        <v>466</v>
      </c>
      <c r="G481" s="3" t="s">
        <v>30</v>
      </c>
      <c r="H481" s="3" t="s">
        <v>90</v>
      </c>
      <c r="I481" s="3" t="s">
        <v>99</v>
      </c>
      <c r="J481" s="3" t="s">
        <v>100</v>
      </c>
      <c r="K481" s="3" t="s">
        <v>33</v>
      </c>
      <c r="L481" s="3" t="s">
        <v>34</v>
      </c>
      <c r="M481" s="3" t="s">
        <v>597</v>
      </c>
      <c r="N481" s="3">
        <v>1</v>
      </c>
      <c r="O481" s="5">
        <v>0.4</v>
      </c>
      <c r="P481" s="6">
        <v>284.26</v>
      </c>
      <c r="Q481" s="6">
        <v>7.01</v>
      </c>
    </row>
    <row r="482" spans="1:17" x14ac:dyDescent="0.3">
      <c r="A482" s="3">
        <v>481</v>
      </c>
      <c r="B482" s="3" t="s">
        <v>893</v>
      </c>
      <c r="C482" s="4">
        <v>45350</v>
      </c>
      <c r="D482" s="4">
        <v>45356</v>
      </c>
      <c r="E482" s="3" t="s">
        <v>56</v>
      </c>
      <c r="F482" s="3" t="s">
        <v>894</v>
      </c>
      <c r="G482" s="3" t="s">
        <v>21</v>
      </c>
      <c r="H482" s="3" t="s">
        <v>40</v>
      </c>
      <c r="I482" s="3" t="s">
        <v>41</v>
      </c>
      <c r="J482" s="3" t="s">
        <v>42</v>
      </c>
      <c r="K482" s="3" t="s">
        <v>33</v>
      </c>
      <c r="L482" s="3" t="s">
        <v>95</v>
      </c>
      <c r="M482" s="3" t="s">
        <v>96</v>
      </c>
      <c r="N482" s="3">
        <v>10</v>
      </c>
      <c r="O482" s="5">
        <v>0</v>
      </c>
      <c r="P482" s="6">
        <v>1683.67</v>
      </c>
      <c r="Q482" s="6">
        <v>110.46</v>
      </c>
    </row>
    <row r="483" spans="1:17" x14ac:dyDescent="0.3">
      <c r="A483" s="3">
        <v>482</v>
      </c>
      <c r="B483" s="3" t="s">
        <v>895</v>
      </c>
      <c r="C483" s="4">
        <v>44962</v>
      </c>
      <c r="D483" s="4">
        <v>44967</v>
      </c>
      <c r="E483" s="3" t="s">
        <v>37</v>
      </c>
      <c r="F483" s="3" t="s">
        <v>268</v>
      </c>
      <c r="G483" s="3" t="s">
        <v>39</v>
      </c>
      <c r="H483" s="3" t="s">
        <v>22</v>
      </c>
      <c r="I483" s="3" t="s">
        <v>72</v>
      </c>
      <c r="J483" s="3" t="s">
        <v>73</v>
      </c>
      <c r="K483" s="3" t="s">
        <v>33</v>
      </c>
      <c r="L483" s="3" t="s">
        <v>49</v>
      </c>
      <c r="M483" s="3" t="s">
        <v>478</v>
      </c>
      <c r="N483" s="3">
        <v>2</v>
      </c>
      <c r="O483" s="5">
        <v>0</v>
      </c>
      <c r="P483" s="6">
        <v>1179.92</v>
      </c>
      <c r="Q483" s="6">
        <v>-274.54000000000002</v>
      </c>
    </row>
    <row r="484" spans="1:17" x14ac:dyDescent="0.3">
      <c r="A484" s="3">
        <v>483</v>
      </c>
      <c r="B484" s="3" t="s">
        <v>896</v>
      </c>
      <c r="C484" s="4">
        <v>45362</v>
      </c>
      <c r="D484" s="4">
        <v>45364</v>
      </c>
      <c r="E484" s="3" t="s">
        <v>56</v>
      </c>
      <c r="F484" s="3" t="s">
        <v>261</v>
      </c>
      <c r="G484" s="3" t="s">
        <v>39</v>
      </c>
      <c r="H484" s="3" t="s">
        <v>22</v>
      </c>
      <c r="I484" s="3" t="s">
        <v>72</v>
      </c>
      <c r="J484" s="3" t="s">
        <v>73</v>
      </c>
      <c r="K484" s="3" t="s">
        <v>58</v>
      </c>
      <c r="L484" s="3" t="s">
        <v>217</v>
      </c>
      <c r="M484" s="3" t="s">
        <v>218</v>
      </c>
      <c r="N484" s="3">
        <v>4</v>
      </c>
      <c r="O484" s="5">
        <v>0.15</v>
      </c>
      <c r="P484" s="6">
        <v>1664.53</v>
      </c>
      <c r="Q484" s="6">
        <v>-93.38</v>
      </c>
    </row>
    <row r="485" spans="1:17" x14ac:dyDescent="0.3">
      <c r="A485" s="3">
        <v>484</v>
      </c>
      <c r="B485" s="3" t="s">
        <v>897</v>
      </c>
      <c r="C485" s="4">
        <v>44379</v>
      </c>
      <c r="D485" s="4">
        <v>44380</v>
      </c>
      <c r="E485" s="3" t="s">
        <v>56</v>
      </c>
      <c r="F485" s="3" t="s">
        <v>466</v>
      </c>
      <c r="G485" s="3" t="s">
        <v>30</v>
      </c>
      <c r="H485" s="3" t="s">
        <v>22</v>
      </c>
      <c r="I485" s="3" t="s">
        <v>84</v>
      </c>
      <c r="J485" s="3" t="s">
        <v>85</v>
      </c>
      <c r="K485" s="3" t="s">
        <v>25</v>
      </c>
      <c r="L485" s="3" t="s">
        <v>26</v>
      </c>
      <c r="M485" s="3" t="s">
        <v>259</v>
      </c>
      <c r="N485" s="3">
        <v>14</v>
      </c>
      <c r="O485" s="5">
        <v>0.3</v>
      </c>
      <c r="P485" s="6">
        <v>338.51</v>
      </c>
      <c r="Q485" s="6">
        <v>73.69</v>
      </c>
    </row>
    <row r="486" spans="1:17" x14ac:dyDescent="0.3">
      <c r="A486" s="3">
        <v>485</v>
      </c>
      <c r="B486" s="3" t="s">
        <v>898</v>
      </c>
      <c r="C486" s="4">
        <v>45559</v>
      </c>
      <c r="D486" s="4">
        <v>45560</v>
      </c>
      <c r="E486" s="3" t="s">
        <v>56</v>
      </c>
      <c r="F486" s="3" t="s">
        <v>899</v>
      </c>
      <c r="G486" s="3" t="s">
        <v>39</v>
      </c>
      <c r="H486" s="3" t="s">
        <v>90</v>
      </c>
      <c r="I486" s="3" t="s">
        <v>99</v>
      </c>
      <c r="J486" s="3" t="s">
        <v>100</v>
      </c>
      <c r="K486" s="3" t="s">
        <v>58</v>
      </c>
      <c r="L486" s="3" t="s">
        <v>86</v>
      </c>
      <c r="M486" s="3" t="s">
        <v>211</v>
      </c>
      <c r="N486" s="3">
        <v>14</v>
      </c>
      <c r="O486" s="5">
        <v>0.1</v>
      </c>
      <c r="P486" s="6">
        <v>2752.73</v>
      </c>
      <c r="Q486" s="6">
        <v>120.5</v>
      </c>
    </row>
    <row r="487" spans="1:17" x14ac:dyDescent="0.3">
      <c r="A487" s="3">
        <v>486</v>
      </c>
      <c r="B487" s="3" t="s">
        <v>900</v>
      </c>
      <c r="C487" s="4">
        <v>45488</v>
      </c>
      <c r="D487" s="4">
        <v>45492</v>
      </c>
      <c r="E487" s="3" t="s">
        <v>62</v>
      </c>
      <c r="F487" s="3" t="s">
        <v>276</v>
      </c>
      <c r="G487" s="3" t="s">
        <v>39</v>
      </c>
      <c r="H487" s="3" t="s">
        <v>22</v>
      </c>
      <c r="I487" s="3" t="s">
        <v>84</v>
      </c>
      <c r="J487" s="3" t="s">
        <v>85</v>
      </c>
      <c r="K487" s="3" t="s">
        <v>58</v>
      </c>
      <c r="L487" s="3" t="s">
        <v>86</v>
      </c>
      <c r="M487" s="3" t="s">
        <v>211</v>
      </c>
      <c r="N487" s="3">
        <v>2</v>
      </c>
      <c r="O487" s="5">
        <v>0.2</v>
      </c>
      <c r="P487" s="6">
        <v>92.13</v>
      </c>
      <c r="Q487" s="6">
        <v>30.77</v>
      </c>
    </row>
    <row r="488" spans="1:17" x14ac:dyDescent="0.3">
      <c r="A488" s="3">
        <v>487</v>
      </c>
      <c r="B488" s="3" t="s">
        <v>901</v>
      </c>
      <c r="C488" s="4">
        <v>44501</v>
      </c>
      <c r="D488" s="4">
        <v>44503</v>
      </c>
      <c r="E488" s="3" t="s">
        <v>62</v>
      </c>
      <c r="F488" s="3" t="s">
        <v>866</v>
      </c>
      <c r="G488" s="3" t="s">
        <v>39</v>
      </c>
      <c r="H488" s="3" t="s">
        <v>46</v>
      </c>
      <c r="I488" s="3" t="s">
        <v>146</v>
      </c>
      <c r="J488" s="3" t="s">
        <v>147</v>
      </c>
      <c r="K488" s="3" t="s">
        <v>25</v>
      </c>
      <c r="L488" s="3" t="s">
        <v>74</v>
      </c>
      <c r="M488" s="3" t="s">
        <v>180</v>
      </c>
      <c r="N488" s="3">
        <v>11</v>
      </c>
      <c r="O488" s="5">
        <v>0.1</v>
      </c>
      <c r="P488" s="6">
        <v>1158.1500000000001</v>
      </c>
      <c r="Q488" s="6">
        <v>73.95</v>
      </c>
    </row>
    <row r="489" spans="1:17" x14ac:dyDescent="0.3">
      <c r="A489" s="3">
        <v>488</v>
      </c>
      <c r="B489" s="3" t="s">
        <v>902</v>
      </c>
      <c r="C489" s="4">
        <v>44390</v>
      </c>
      <c r="D489" s="4">
        <v>44394</v>
      </c>
      <c r="E489" s="3" t="s">
        <v>56</v>
      </c>
      <c r="F489" s="3" t="s">
        <v>903</v>
      </c>
      <c r="G489" s="3" t="s">
        <v>21</v>
      </c>
      <c r="H489" s="3" t="s">
        <v>22</v>
      </c>
      <c r="I489" s="3" t="s">
        <v>31</v>
      </c>
      <c r="J489" s="3" t="s">
        <v>32</v>
      </c>
      <c r="K489" s="3" t="s">
        <v>33</v>
      </c>
      <c r="L489" s="3" t="s">
        <v>34</v>
      </c>
      <c r="M489" s="3" t="s">
        <v>597</v>
      </c>
      <c r="N489" s="3">
        <v>11</v>
      </c>
      <c r="O489" s="5">
        <v>0.15</v>
      </c>
      <c r="P489" s="6">
        <v>5370.25</v>
      </c>
      <c r="Q489" s="6">
        <v>-197.22</v>
      </c>
    </row>
    <row r="490" spans="1:17" x14ac:dyDescent="0.3">
      <c r="A490" s="3">
        <v>489</v>
      </c>
      <c r="B490" s="3" t="s">
        <v>904</v>
      </c>
      <c r="C490" s="4">
        <v>45049</v>
      </c>
      <c r="D490" s="4">
        <v>45055</v>
      </c>
      <c r="E490" s="3" t="s">
        <v>19</v>
      </c>
      <c r="F490" s="3" t="s">
        <v>519</v>
      </c>
      <c r="G490" s="3" t="s">
        <v>30</v>
      </c>
      <c r="H490" s="3" t="s">
        <v>40</v>
      </c>
      <c r="I490" s="3" t="s">
        <v>114</v>
      </c>
      <c r="J490" s="3" t="s">
        <v>115</v>
      </c>
      <c r="K490" s="3" t="s">
        <v>58</v>
      </c>
      <c r="L490" s="3" t="s">
        <v>59</v>
      </c>
      <c r="M490" s="3" t="s">
        <v>60</v>
      </c>
      <c r="N490" s="3">
        <v>5</v>
      </c>
      <c r="O490" s="5">
        <v>0.4</v>
      </c>
      <c r="P490" s="6">
        <v>781.24</v>
      </c>
      <c r="Q490" s="6">
        <v>159.69999999999999</v>
      </c>
    </row>
    <row r="491" spans="1:17" x14ac:dyDescent="0.3">
      <c r="A491" s="3">
        <v>490</v>
      </c>
      <c r="B491" s="3" t="s">
        <v>905</v>
      </c>
      <c r="C491" s="4">
        <v>44414</v>
      </c>
      <c r="D491" s="4">
        <v>44418</v>
      </c>
      <c r="E491" s="3" t="s">
        <v>56</v>
      </c>
      <c r="F491" s="3" t="s">
        <v>268</v>
      </c>
      <c r="G491" s="3" t="s">
        <v>39</v>
      </c>
      <c r="H491" s="3" t="s">
        <v>40</v>
      </c>
      <c r="I491" s="3" t="s">
        <v>114</v>
      </c>
      <c r="J491" s="3" t="s">
        <v>115</v>
      </c>
      <c r="K491" s="3" t="s">
        <v>33</v>
      </c>
      <c r="L491" s="3" t="s">
        <v>64</v>
      </c>
      <c r="M491" s="3" t="s">
        <v>65</v>
      </c>
      <c r="N491" s="3">
        <v>9</v>
      </c>
      <c r="O491" s="5">
        <v>0.3</v>
      </c>
      <c r="P491" s="6">
        <v>303.79000000000002</v>
      </c>
      <c r="Q491" s="6">
        <v>-54.68</v>
      </c>
    </row>
    <row r="492" spans="1:17" x14ac:dyDescent="0.3">
      <c r="A492" s="3">
        <v>491</v>
      </c>
      <c r="B492" s="3" t="s">
        <v>906</v>
      </c>
      <c r="C492" s="4">
        <v>45611</v>
      </c>
      <c r="D492" s="4">
        <v>45617</v>
      </c>
      <c r="E492" s="3" t="s">
        <v>62</v>
      </c>
      <c r="F492" s="3" t="s">
        <v>412</v>
      </c>
      <c r="G492" s="3" t="s">
        <v>21</v>
      </c>
      <c r="H492" s="3" t="s">
        <v>90</v>
      </c>
      <c r="I492" s="3" t="s">
        <v>99</v>
      </c>
      <c r="J492" s="3" t="s">
        <v>100</v>
      </c>
      <c r="K492" s="3" t="s">
        <v>25</v>
      </c>
      <c r="L492" s="3" t="s">
        <v>80</v>
      </c>
      <c r="M492" s="3" t="s">
        <v>150</v>
      </c>
      <c r="N492" s="3">
        <v>12</v>
      </c>
      <c r="O492" s="5">
        <v>0.15</v>
      </c>
      <c r="P492" s="6">
        <v>935.85</v>
      </c>
      <c r="Q492" s="6">
        <v>-184.75</v>
      </c>
    </row>
    <row r="493" spans="1:17" x14ac:dyDescent="0.3">
      <c r="A493" s="3">
        <v>492</v>
      </c>
      <c r="B493" s="3" t="s">
        <v>907</v>
      </c>
      <c r="C493" s="4">
        <v>45089</v>
      </c>
      <c r="D493" s="4">
        <v>45096</v>
      </c>
      <c r="E493" s="3" t="s">
        <v>62</v>
      </c>
      <c r="F493" s="3" t="s">
        <v>276</v>
      </c>
      <c r="G493" s="3" t="s">
        <v>30</v>
      </c>
      <c r="H493" s="3" t="s">
        <v>40</v>
      </c>
      <c r="I493" s="3" t="s">
        <v>158</v>
      </c>
      <c r="J493" s="3" t="s">
        <v>159</v>
      </c>
      <c r="K493" s="3" t="s">
        <v>33</v>
      </c>
      <c r="L493" s="3" t="s">
        <v>95</v>
      </c>
      <c r="M493" s="3" t="s">
        <v>370</v>
      </c>
      <c r="N493" s="3">
        <v>11</v>
      </c>
      <c r="O493" s="5">
        <v>0.1</v>
      </c>
      <c r="P493" s="6">
        <v>6447.64</v>
      </c>
      <c r="Q493" s="6">
        <v>-1278.8499999999999</v>
      </c>
    </row>
    <row r="494" spans="1:17" x14ac:dyDescent="0.3">
      <c r="A494" s="3">
        <v>493</v>
      </c>
      <c r="B494" s="3" t="s">
        <v>908</v>
      </c>
      <c r="C494" s="4">
        <v>45162</v>
      </c>
      <c r="D494" s="4">
        <v>45163</v>
      </c>
      <c r="E494" s="3" t="s">
        <v>62</v>
      </c>
      <c r="F494" s="3" t="s">
        <v>790</v>
      </c>
      <c r="G494" s="3" t="s">
        <v>21</v>
      </c>
      <c r="H494" s="3" t="s">
        <v>22</v>
      </c>
      <c r="I494" s="3" t="s">
        <v>68</v>
      </c>
      <c r="J494" s="3" t="s">
        <v>69</v>
      </c>
      <c r="K494" s="3" t="s">
        <v>58</v>
      </c>
      <c r="L494" s="3" t="s">
        <v>217</v>
      </c>
      <c r="M494" s="3" t="s">
        <v>218</v>
      </c>
      <c r="N494" s="3">
        <v>14</v>
      </c>
      <c r="O494" s="5">
        <v>0.1</v>
      </c>
      <c r="P494" s="6">
        <v>3276.48</v>
      </c>
      <c r="Q494" s="6">
        <v>-423.31</v>
      </c>
    </row>
    <row r="495" spans="1:17" x14ac:dyDescent="0.3">
      <c r="A495" s="3">
        <v>494</v>
      </c>
      <c r="B495" s="3" t="s">
        <v>909</v>
      </c>
      <c r="C495" s="4">
        <v>45195</v>
      </c>
      <c r="D495" s="4">
        <v>45199</v>
      </c>
      <c r="E495" s="3" t="s">
        <v>37</v>
      </c>
      <c r="F495" s="3" t="s">
        <v>903</v>
      </c>
      <c r="G495" s="3" t="s">
        <v>30</v>
      </c>
      <c r="H495" s="3" t="s">
        <v>90</v>
      </c>
      <c r="I495" s="3" t="s">
        <v>110</v>
      </c>
      <c r="J495" s="3" t="s">
        <v>111</v>
      </c>
      <c r="K495" s="3" t="s">
        <v>58</v>
      </c>
      <c r="L495" s="3" t="s">
        <v>199</v>
      </c>
      <c r="M495" s="3" t="s">
        <v>571</v>
      </c>
      <c r="N495" s="3">
        <v>8</v>
      </c>
      <c r="O495" s="5">
        <v>0.4</v>
      </c>
      <c r="P495" s="6">
        <v>1909.79</v>
      </c>
      <c r="Q495" s="6">
        <v>-211.71</v>
      </c>
    </row>
    <row r="496" spans="1:17" x14ac:dyDescent="0.3">
      <c r="A496" s="3">
        <v>495</v>
      </c>
      <c r="B496" s="3" t="s">
        <v>910</v>
      </c>
      <c r="C496" s="4">
        <v>44436</v>
      </c>
      <c r="D496" s="4">
        <v>44440</v>
      </c>
      <c r="E496" s="3" t="s">
        <v>19</v>
      </c>
      <c r="F496" s="3" t="s">
        <v>278</v>
      </c>
      <c r="G496" s="3" t="s">
        <v>30</v>
      </c>
      <c r="H496" s="3" t="s">
        <v>22</v>
      </c>
      <c r="I496" s="3" t="s">
        <v>72</v>
      </c>
      <c r="J496" s="3" t="s">
        <v>73</v>
      </c>
      <c r="K496" s="3" t="s">
        <v>58</v>
      </c>
      <c r="L496" s="3" t="s">
        <v>217</v>
      </c>
      <c r="M496" s="3" t="s">
        <v>218</v>
      </c>
      <c r="N496" s="3">
        <v>10</v>
      </c>
      <c r="O496" s="5">
        <v>0.2</v>
      </c>
      <c r="P496" s="6">
        <v>4430.3500000000004</v>
      </c>
      <c r="Q496" s="6">
        <v>84.16</v>
      </c>
    </row>
    <row r="497" spans="1:17" x14ac:dyDescent="0.3">
      <c r="A497" s="3">
        <v>496</v>
      </c>
      <c r="B497" s="3" t="s">
        <v>911</v>
      </c>
      <c r="C497" s="4">
        <v>45400</v>
      </c>
      <c r="D497" s="4">
        <v>45406</v>
      </c>
      <c r="E497" s="3" t="s">
        <v>37</v>
      </c>
      <c r="F497" s="3" t="s">
        <v>280</v>
      </c>
      <c r="G497" s="3" t="s">
        <v>39</v>
      </c>
      <c r="H497" s="3" t="s">
        <v>90</v>
      </c>
      <c r="I497" s="3" t="s">
        <v>99</v>
      </c>
      <c r="J497" s="3" t="s">
        <v>100</v>
      </c>
      <c r="K497" s="3" t="s">
        <v>25</v>
      </c>
      <c r="L497" s="3" t="s">
        <v>80</v>
      </c>
      <c r="M497" s="3" t="s">
        <v>81</v>
      </c>
      <c r="N497" s="3">
        <v>6</v>
      </c>
      <c r="O497" s="5">
        <v>0.4</v>
      </c>
      <c r="P497" s="6">
        <v>584.84</v>
      </c>
      <c r="Q497" s="6">
        <v>-100.19</v>
      </c>
    </row>
    <row r="498" spans="1:17" x14ac:dyDescent="0.3">
      <c r="A498" s="3">
        <v>497</v>
      </c>
      <c r="B498" s="3" t="s">
        <v>912</v>
      </c>
      <c r="C498" s="4">
        <v>44373</v>
      </c>
      <c r="D498" s="4">
        <v>44379</v>
      </c>
      <c r="E498" s="3" t="s">
        <v>37</v>
      </c>
      <c r="F498" s="3" t="s">
        <v>462</v>
      </c>
      <c r="G498" s="3" t="s">
        <v>30</v>
      </c>
      <c r="H498" s="3" t="s">
        <v>90</v>
      </c>
      <c r="I498" s="3" t="s">
        <v>104</v>
      </c>
      <c r="J498" s="3" t="s">
        <v>105</v>
      </c>
      <c r="K498" s="3" t="s">
        <v>25</v>
      </c>
      <c r="L498" s="3" t="s">
        <v>106</v>
      </c>
      <c r="M498" s="3" t="s">
        <v>136</v>
      </c>
      <c r="N498" s="3">
        <v>8</v>
      </c>
      <c r="O498" s="5">
        <v>0.1</v>
      </c>
      <c r="P498" s="6">
        <v>133.72999999999999</v>
      </c>
      <c r="Q498" s="6">
        <v>-20.89</v>
      </c>
    </row>
    <row r="499" spans="1:17" x14ac:dyDescent="0.3">
      <c r="A499" s="3">
        <v>498</v>
      </c>
      <c r="B499" s="3" t="s">
        <v>913</v>
      </c>
      <c r="C499" s="4">
        <v>44731</v>
      </c>
      <c r="D499" s="4">
        <v>44734</v>
      </c>
      <c r="E499" s="3" t="s">
        <v>19</v>
      </c>
      <c r="F499" s="3" t="s">
        <v>253</v>
      </c>
      <c r="G499" s="3" t="s">
        <v>39</v>
      </c>
      <c r="H499" s="3" t="s">
        <v>40</v>
      </c>
      <c r="I499" s="3" t="s">
        <v>114</v>
      </c>
      <c r="J499" s="3" t="s">
        <v>115</v>
      </c>
      <c r="K499" s="3" t="s">
        <v>25</v>
      </c>
      <c r="L499" s="3" t="s">
        <v>116</v>
      </c>
      <c r="M499" s="3" t="s">
        <v>166</v>
      </c>
      <c r="N499" s="3">
        <v>11</v>
      </c>
      <c r="O499" s="5">
        <v>0</v>
      </c>
      <c r="P499" s="6">
        <v>227.87</v>
      </c>
      <c r="Q499" s="6">
        <v>53.34</v>
      </c>
    </row>
    <row r="500" spans="1:17" x14ac:dyDescent="0.3">
      <c r="A500" s="3">
        <v>499</v>
      </c>
      <c r="B500" s="3" t="s">
        <v>914</v>
      </c>
      <c r="C500" s="4">
        <v>44924</v>
      </c>
      <c r="D500" s="4">
        <v>44931</v>
      </c>
      <c r="E500" s="3" t="s">
        <v>62</v>
      </c>
      <c r="F500" s="3" t="s">
        <v>300</v>
      </c>
      <c r="G500" s="3" t="s">
        <v>30</v>
      </c>
      <c r="H500" s="3" t="s">
        <v>22</v>
      </c>
      <c r="I500" s="3" t="s">
        <v>31</v>
      </c>
      <c r="J500" s="3" t="s">
        <v>32</v>
      </c>
      <c r="K500" s="3" t="s">
        <v>25</v>
      </c>
      <c r="L500" s="3" t="s">
        <v>106</v>
      </c>
      <c r="M500" s="3" t="s">
        <v>107</v>
      </c>
      <c r="N500" s="3">
        <v>1</v>
      </c>
      <c r="O500" s="5">
        <v>0.15</v>
      </c>
      <c r="P500" s="6">
        <v>88.69</v>
      </c>
      <c r="Q500" s="6">
        <v>25.52</v>
      </c>
    </row>
    <row r="501" spans="1:17" x14ac:dyDescent="0.3">
      <c r="A501" s="3">
        <v>500</v>
      </c>
      <c r="B501" s="3" t="s">
        <v>915</v>
      </c>
      <c r="C501" s="4">
        <v>44282</v>
      </c>
      <c r="D501" s="4">
        <v>44287</v>
      </c>
      <c r="E501" s="3" t="s">
        <v>56</v>
      </c>
      <c r="F501" s="3" t="s">
        <v>177</v>
      </c>
      <c r="G501" s="3" t="s">
        <v>39</v>
      </c>
      <c r="H501" s="3" t="s">
        <v>22</v>
      </c>
      <c r="I501" s="3" t="s">
        <v>31</v>
      </c>
      <c r="J501" s="3" t="s">
        <v>32</v>
      </c>
      <c r="K501" s="3" t="s">
        <v>25</v>
      </c>
      <c r="L501" s="3" t="s">
        <v>116</v>
      </c>
      <c r="M501" s="3" t="s">
        <v>117</v>
      </c>
      <c r="N501" s="3">
        <v>2</v>
      </c>
      <c r="O501" s="5">
        <v>0</v>
      </c>
      <c r="P501" s="6">
        <v>43.42</v>
      </c>
      <c r="Q501" s="6">
        <v>11.83</v>
      </c>
    </row>
    <row r="502" spans="1:17" x14ac:dyDescent="0.3">
      <c r="A502" s="3">
        <v>501</v>
      </c>
      <c r="B502" s="3" t="s">
        <v>916</v>
      </c>
      <c r="C502" s="4">
        <v>44479</v>
      </c>
      <c r="D502" s="4">
        <v>44480</v>
      </c>
      <c r="E502" s="3" t="s">
        <v>37</v>
      </c>
      <c r="F502" s="3" t="s">
        <v>817</v>
      </c>
      <c r="G502" s="3" t="s">
        <v>30</v>
      </c>
      <c r="H502" s="3" t="s">
        <v>90</v>
      </c>
      <c r="I502" s="3" t="s">
        <v>169</v>
      </c>
      <c r="J502" s="3" t="s">
        <v>170</v>
      </c>
      <c r="K502" s="3" t="s">
        <v>33</v>
      </c>
      <c r="L502" s="3" t="s">
        <v>64</v>
      </c>
      <c r="M502" s="3" t="s">
        <v>269</v>
      </c>
      <c r="N502" s="3">
        <v>14</v>
      </c>
      <c r="O502" s="5">
        <v>0.3</v>
      </c>
      <c r="P502" s="6">
        <v>2054.66</v>
      </c>
      <c r="Q502" s="6">
        <v>434.63</v>
      </c>
    </row>
    <row r="503" spans="1:17" x14ac:dyDescent="0.3">
      <c r="A503" s="3">
        <v>502</v>
      </c>
      <c r="B503" s="3" t="s">
        <v>917</v>
      </c>
      <c r="C503" s="4">
        <v>44935</v>
      </c>
      <c r="D503" s="4">
        <v>44941</v>
      </c>
      <c r="E503" s="3" t="s">
        <v>56</v>
      </c>
      <c r="F503" s="3" t="s">
        <v>918</v>
      </c>
      <c r="G503" s="3" t="s">
        <v>30</v>
      </c>
      <c r="H503" s="3" t="s">
        <v>40</v>
      </c>
      <c r="I503" s="3" t="s">
        <v>158</v>
      </c>
      <c r="J503" s="3" t="s">
        <v>159</v>
      </c>
      <c r="K503" s="3" t="s">
        <v>25</v>
      </c>
      <c r="L503" s="3" t="s">
        <v>53</v>
      </c>
      <c r="M503" s="3" t="s">
        <v>54</v>
      </c>
      <c r="N503" s="3">
        <v>11</v>
      </c>
      <c r="O503" s="5">
        <v>0.3</v>
      </c>
      <c r="P503" s="6">
        <v>309.94</v>
      </c>
      <c r="Q503" s="6">
        <v>68.91</v>
      </c>
    </row>
    <row r="504" spans="1:17" x14ac:dyDescent="0.3">
      <c r="A504" s="3">
        <v>503</v>
      </c>
      <c r="B504" s="3" t="s">
        <v>919</v>
      </c>
      <c r="C504" s="4">
        <v>45020</v>
      </c>
      <c r="D504" s="4">
        <v>45026</v>
      </c>
      <c r="E504" s="3" t="s">
        <v>19</v>
      </c>
      <c r="F504" s="3" t="s">
        <v>523</v>
      </c>
      <c r="G504" s="3" t="s">
        <v>30</v>
      </c>
      <c r="H504" s="3" t="s">
        <v>40</v>
      </c>
      <c r="I504" s="3" t="s">
        <v>223</v>
      </c>
      <c r="J504" s="3" t="s">
        <v>224</v>
      </c>
      <c r="K504" s="3" t="s">
        <v>33</v>
      </c>
      <c r="L504" s="3" t="s">
        <v>64</v>
      </c>
      <c r="M504" s="3" t="s">
        <v>269</v>
      </c>
      <c r="N504" s="3">
        <v>12</v>
      </c>
      <c r="O504" s="5">
        <v>0.15</v>
      </c>
      <c r="P504" s="6">
        <v>4568.95</v>
      </c>
      <c r="Q504" s="6">
        <v>835.8</v>
      </c>
    </row>
    <row r="505" spans="1:17" x14ac:dyDescent="0.3">
      <c r="A505" s="3">
        <v>504</v>
      </c>
      <c r="B505" s="3" t="s">
        <v>920</v>
      </c>
      <c r="C505" s="4">
        <v>45625</v>
      </c>
      <c r="D505" s="4">
        <v>45628</v>
      </c>
      <c r="E505" s="3" t="s">
        <v>37</v>
      </c>
      <c r="F505" s="3" t="s">
        <v>89</v>
      </c>
      <c r="G505" s="3" t="s">
        <v>39</v>
      </c>
      <c r="H505" s="3" t="s">
        <v>90</v>
      </c>
      <c r="I505" s="3" t="s">
        <v>110</v>
      </c>
      <c r="J505" s="3" t="s">
        <v>111</v>
      </c>
      <c r="K505" s="3" t="s">
        <v>25</v>
      </c>
      <c r="L505" s="3" t="s">
        <v>80</v>
      </c>
      <c r="M505" s="3" t="s">
        <v>150</v>
      </c>
      <c r="N505" s="3">
        <v>13</v>
      </c>
      <c r="O505" s="5">
        <v>0.3</v>
      </c>
      <c r="P505" s="6">
        <v>1114.68</v>
      </c>
      <c r="Q505" s="6">
        <v>239.92</v>
      </c>
    </row>
    <row r="506" spans="1:17" x14ac:dyDescent="0.3">
      <c r="A506" s="3">
        <v>505</v>
      </c>
      <c r="B506" s="3" t="s">
        <v>921</v>
      </c>
      <c r="C506" s="4">
        <v>44634</v>
      </c>
      <c r="D506" s="4">
        <v>44635</v>
      </c>
      <c r="E506" s="3" t="s">
        <v>37</v>
      </c>
      <c r="F506" s="3" t="s">
        <v>922</v>
      </c>
      <c r="G506" s="3" t="s">
        <v>39</v>
      </c>
      <c r="H506" s="3" t="s">
        <v>90</v>
      </c>
      <c r="I506" s="3" t="s">
        <v>104</v>
      </c>
      <c r="J506" s="3" t="s">
        <v>105</v>
      </c>
      <c r="K506" s="3" t="s">
        <v>25</v>
      </c>
      <c r="L506" s="3" t="s">
        <v>80</v>
      </c>
      <c r="M506" s="3" t="s">
        <v>150</v>
      </c>
      <c r="N506" s="3">
        <v>9</v>
      </c>
      <c r="O506" s="5">
        <v>0.2</v>
      </c>
      <c r="P506" s="6">
        <v>567.76</v>
      </c>
      <c r="Q506" s="6">
        <v>115.95</v>
      </c>
    </row>
    <row r="507" spans="1:17" x14ac:dyDescent="0.3">
      <c r="A507" s="3">
        <v>506</v>
      </c>
      <c r="B507" s="3" t="s">
        <v>923</v>
      </c>
      <c r="C507" s="4">
        <v>44319</v>
      </c>
      <c r="D507" s="4">
        <v>44326</v>
      </c>
      <c r="E507" s="3" t="s">
        <v>62</v>
      </c>
      <c r="F507" s="3" t="s">
        <v>924</v>
      </c>
      <c r="G507" s="3" t="s">
        <v>39</v>
      </c>
      <c r="H507" s="3" t="s">
        <v>40</v>
      </c>
      <c r="I507" s="3" t="s">
        <v>41</v>
      </c>
      <c r="J507" s="3" t="s">
        <v>42</v>
      </c>
      <c r="K507" s="3" t="s">
        <v>25</v>
      </c>
      <c r="L507" s="3" t="s">
        <v>80</v>
      </c>
      <c r="M507" s="3" t="s">
        <v>81</v>
      </c>
      <c r="N507" s="3">
        <v>6</v>
      </c>
      <c r="O507" s="5">
        <v>0.2</v>
      </c>
      <c r="P507" s="6">
        <v>184.15</v>
      </c>
      <c r="Q507" s="6">
        <v>-32.36</v>
      </c>
    </row>
    <row r="508" spans="1:17" x14ac:dyDescent="0.3">
      <c r="A508" s="3">
        <v>507</v>
      </c>
      <c r="B508" s="3" t="s">
        <v>925</v>
      </c>
      <c r="C508" s="4">
        <v>44809</v>
      </c>
      <c r="D508" s="4">
        <v>44812</v>
      </c>
      <c r="E508" s="3" t="s">
        <v>19</v>
      </c>
      <c r="F508" s="3" t="s">
        <v>926</v>
      </c>
      <c r="G508" s="3" t="s">
        <v>39</v>
      </c>
      <c r="H508" s="3" t="s">
        <v>90</v>
      </c>
      <c r="I508" s="3" t="s">
        <v>99</v>
      </c>
      <c r="J508" s="3" t="s">
        <v>100</v>
      </c>
      <c r="K508" s="3" t="s">
        <v>58</v>
      </c>
      <c r="L508" s="3" t="s">
        <v>86</v>
      </c>
      <c r="M508" s="3" t="s">
        <v>211</v>
      </c>
      <c r="N508" s="3">
        <v>11</v>
      </c>
      <c r="O508" s="5">
        <v>0</v>
      </c>
      <c r="P508" s="6">
        <v>4387.3599999999997</v>
      </c>
      <c r="Q508" s="6">
        <v>783.63</v>
      </c>
    </row>
    <row r="509" spans="1:17" x14ac:dyDescent="0.3">
      <c r="A509" s="3">
        <v>508</v>
      </c>
      <c r="B509" s="3" t="s">
        <v>927</v>
      </c>
      <c r="C509" s="4">
        <v>44364</v>
      </c>
      <c r="D509" s="4">
        <v>44365</v>
      </c>
      <c r="E509" s="3" t="s">
        <v>56</v>
      </c>
      <c r="F509" s="3" t="s">
        <v>928</v>
      </c>
      <c r="G509" s="3" t="s">
        <v>39</v>
      </c>
      <c r="H509" s="3" t="s">
        <v>46</v>
      </c>
      <c r="I509" s="3" t="s">
        <v>146</v>
      </c>
      <c r="J509" s="3" t="s">
        <v>147</v>
      </c>
      <c r="K509" s="3" t="s">
        <v>33</v>
      </c>
      <c r="L509" s="3" t="s">
        <v>34</v>
      </c>
      <c r="M509" s="3" t="s">
        <v>597</v>
      </c>
      <c r="N509" s="3">
        <v>1</v>
      </c>
      <c r="O509" s="5">
        <v>0</v>
      </c>
      <c r="P509" s="6">
        <v>311.8</v>
      </c>
      <c r="Q509" s="6">
        <v>11.15</v>
      </c>
    </row>
    <row r="510" spans="1:17" x14ac:dyDescent="0.3">
      <c r="A510" s="3">
        <v>509</v>
      </c>
      <c r="B510" s="3" t="s">
        <v>929</v>
      </c>
      <c r="C510" s="4">
        <v>45256</v>
      </c>
      <c r="D510" s="4">
        <v>45257</v>
      </c>
      <c r="E510" s="3" t="s">
        <v>62</v>
      </c>
      <c r="F510" s="3" t="s">
        <v>807</v>
      </c>
      <c r="G510" s="3" t="s">
        <v>30</v>
      </c>
      <c r="H510" s="3" t="s">
        <v>46</v>
      </c>
      <c r="I510" s="3" t="s">
        <v>257</v>
      </c>
      <c r="J510" s="3" t="s">
        <v>258</v>
      </c>
      <c r="K510" s="3" t="s">
        <v>25</v>
      </c>
      <c r="L510" s="3" t="s">
        <v>116</v>
      </c>
      <c r="M510" s="3" t="s">
        <v>117</v>
      </c>
      <c r="N510" s="3">
        <v>2</v>
      </c>
      <c r="O510" s="5">
        <v>0.3</v>
      </c>
      <c r="P510" s="6">
        <v>76.290000000000006</v>
      </c>
      <c r="Q510" s="6">
        <v>25.88</v>
      </c>
    </row>
    <row r="511" spans="1:17" x14ac:dyDescent="0.3">
      <c r="A511" s="3">
        <v>510</v>
      </c>
      <c r="B511" s="3" t="s">
        <v>930</v>
      </c>
      <c r="C511" s="4">
        <v>45018</v>
      </c>
      <c r="D511" s="4">
        <v>45023</v>
      </c>
      <c r="E511" s="3" t="s">
        <v>62</v>
      </c>
      <c r="F511" s="3" t="s">
        <v>931</v>
      </c>
      <c r="G511" s="3" t="s">
        <v>21</v>
      </c>
      <c r="H511" s="3" t="s">
        <v>22</v>
      </c>
      <c r="I511" s="3" t="s">
        <v>84</v>
      </c>
      <c r="J511" s="3" t="s">
        <v>85</v>
      </c>
      <c r="K511" s="3" t="s">
        <v>33</v>
      </c>
      <c r="L511" s="3" t="s">
        <v>95</v>
      </c>
      <c r="M511" s="3" t="s">
        <v>262</v>
      </c>
      <c r="N511" s="3">
        <v>7</v>
      </c>
      <c r="O511" s="5">
        <v>0</v>
      </c>
      <c r="P511" s="6">
        <v>3011.86</v>
      </c>
      <c r="Q511" s="6">
        <v>-592.02</v>
      </c>
    </row>
  </sheetData>
  <autoFilter ref="A1:Q511" xr:uid="{00000000-0009-0000-0000-000000000000}"/>
  <conditionalFormatting sqref="Q2:Q511">
    <cfRule type="cellIs" dxfId="0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4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20" customWidth="1"/>
    <col min="3" max="5" width="14" customWidth="1"/>
    <col min="6" max="6" width="20" customWidth="1"/>
    <col min="7" max="12" width="14" customWidth="1"/>
    <col min="13" max="13" width="20" customWidth="1"/>
    <col min="14" max="17" width="14" customWidth="1"/>
    <col min="19" max="19" width="55" customWidth="1"/>
  </cols>
  <sheetData>
    <row r="1" spans="1:19" ht="4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7" t="s">
        <v>932</v>
      </c>
    </row>
    <row r="2" spans="1:19" x14ac:dyDescent="0.3">
      <c r="A2" s="3">
        <v>1</v>
      </c>
      <c r="B2" s="3" t="s">
        <v>18</v>
      </c>
      <c r="C2" s="3" t="s">
        <v>933</v>
      </c>
      <c r="D2" s="3" t="s">
        <v>934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>
        <v>2</v>
      </c>
      <c r="O2" s="3">
        <v>0</v>
      </c>
      <c r="P2" s="3">
        <v>163.69999999999999</v>
      </c>
      <c r="Q2" s="3">
        <v>17.07</v>
      </c>
    </row>
    <row r="3" spans="1:19" x14ac:dyDescent="0.3">
      <c r="A3" s="3">
        <v>2</v>
      </c>
      <c r="B3" s="3" t="s">
        <v>28</v>
      </c>
      <c r="C3" s="3" t="s">
        <v>935</v>
      </c>
      <c r="D3" s="3" t="s">
        <v>936</v>
      </c>
      <c r="E3" s="3" t="s">
        <v>19</v>
      </c>
      <c r="F3" s="3" t="s">
        <v>29</v>
      </c>
      <c r="G3" s="3" t="s">
        <v>30</v>
      </c>
      <c r="H3" s="3" t="s">
        <v>22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>
        <v>5</v>
      </c>
      <c r="O3" s="3">
        <v>0</v>
      </c>
      <c r="P3" s="3">
        <v>2856.83</v>
      </c>
      <c r="Q3" s="3">
        <v>586.46</v>
      </c>
    </row>
    <row r="4" spans="1:19" x14ac:dyDescent="0.3">
      <c r="A4" s="3">
        <v>3</v>
      </c>
      <c r="B4" s="3" t="s">
        <v>36</v>
      </c>
      <c r="C4" s="3" t="s">
        <v>937</v>
      </c>
      <c r="D4" s="3" t="s">
        <v>938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33</v>
      </c>
      <c r="L4" s="3" t="s">
        <v>34</v>
      </c>
      <c r="M4" s="3" t="s">
        <v>43</v>
      </c>
      <c r="N4" s="3">
        <v>6</v>
      </c>
      <c r="O4" s="3">
        <v>0</v>
      </c>
      <c r="P4" s="3">
        <v>2595.09</v>
      </c>
      <c r="Q4" s="3">
        <v>487.46</v>
      </c>
    </row>
    <row r="5" spans="1:19" x14ac:dyDescent="0.3">
      <c r="A5" s="3">
        <v>4</v>
      </c>
      <c r="B5" s="3" t="s">
        <v>44</v>
      </c>
      <c r="C5" s="3" t="s">
        <v>939</v>
      </c>
      <c r="D5" s="3" t="s">
        <v>940</v>
      </c>
      <c r="E5" s="3" t="s">
        <v>37</v>
      </c>
      <c r="F5" s="3" t="s">
        <v>45</v>
      </c>
      <c r="G5" s="3" t="s">
        <v>30</v>
      </c>
      <c r="H5" s="3" t="s">
        <v>46</v>
      </c>
      <c r="I5" s="3" t="s">
        <v>47</v>
      </c>
      <c r="J5" s="3" t="s">
        <v>48</v>
      </c>
      <c r="K5" s="3" t="s">
        <v>33</v>
      </c>
      <c r="L5" s="3" t="s">
        <v>49</v>
      </c>
      <c r="M5" s="3" t="s">
        <v>50</v>
      </c>
      <c r="N5" s="3">
        <v>13</v>
      </c>
      <c r="O5" s="3">
        <v>0</v>
      </c>
      <c r="P5" s="3">
        <v>2864.38</v>
      </c>
      <c r="Q5" s="3">
        <v>753.88</v>
      </c>
    </row>
    <row r="6" spans="1:19" x14ac:dyDescent="0.3">
      <c r="A6" s="3">
        <v>5</v>
      </c>
      <c r="B6" s="3" t="s">
        <v>51</v>
      </c>
      <c r="C6" s="3" t="s">
        <v>941</v>
      </c>
      <c r="D6" s="3" t="s">
        <v>942</v>
      </c>
      <c r="E6" s="3" t="s">
        <v>37</v>
      </c>
      <c r="F6" s="3" t="s">
        <v>52</v>
      </c>
      <c r="G6" s="3" t="s">
        <v>30</v>
      </c>
      <c r="H6" s="3" t="s">
        <v>40</v>
      </c>
      <c r="I6" s="3" t="s">
        <v>41</v>
      </c>
      <c r="J6" s="3" t="s">
        <v>42</v>
      </c>
      <c r="K6" s="3" t="s">
        <v>25</v>
      </c>
      <c r="L6" s="3" t="s">
        <v>53</v>
      </c>
      <c r="M6" s="3" t="s">
        <v>54</v>
      </c>
      <c r="N6" s="3">
        <v>11</v>
      </c>
      <c r="O6" s="3">
        <v>0</v>
      </c>
      <c r="P6" s="3">
        <v>114.68</v>
      </c>
      <c r="Q6" s="3">
        <v>8.08</v>
      </c>
    </row>
    <row r="7" spans="1:19" x14ac:dyDescent="0.3">
      <c r="A7" s="3">
        <v>6</v>
      </c>
      <c r="B7" s="3" t="s">
        <v>55</v>
      </c>
      <c r="C7" s="3" t="s">
        <v>943</v>
      </c>
      <c r="D7" s="3" t="s">
        <v>944</v>
      </c>
      <c r="E7" s="3" t="s">
        <v>56</v>
      </c>
      <c r="F7" s="3" t="s">
        <v>57</v>
      </c>
      <c r="G7" s="3" t="s">
        <v>30</v>
      </c>
      <c r="H7" s="3" t="s">
        <v>40</v>
      </c>
      <c r="I7" s="3" t="s">
        <v>41</v>
      </c>
      <c r="J7" s="3" t="s">
        <v>42</v>
      </c>
      <c r="K7" s="3" t="s">
        <v>58</v>
      </c>
      <c r="L7" s="3" t="s">
        <v>59</v>
      </c>
      <c r="M7" s="3" t="s">
        <v>60</v>
      </c>
      <c r="N7" s="3">
        <v>6</v>
      </c>
      <c r="O7" s="3">
        <v>0</v>
      </c>
      <c r="P7" s="3">
        <v>1311.28</v>
      </c>
      <c r="Q7" s="3">
        <v>-161.83000000000001</v>
      </c>
    </row>
    <row r="8" spans="1:19" x14ac:dyDescent="0.3">
      <c r="A8" s="3">
        <v>7</v>
      </c>
      <c r="B8" s="3" t="s">
        <v>61</v>
      </c>
      <c r="C8" s="3" t="s">
        <v>945</v>
      </c>
      <c r="D8" s="3" t="s">
        <v>946</v>
      </c>
      <c r="E8" s="3" t="s">
        <v>62</v>
      </c>
      <c r="F8" s="3" t="s">
        <v>63</v>
      </c>
      <c r="G8" s="3" t="s">
        <v>21</v>
      </c>
      <c r="H8" s="3" t="s">
        <v>40</v>
      </c>
      <c r="I8" s="3" t="s">
        <v>41</v>
      </c>
      <c r="J8" s="3" t="s">
        <v>42</v>
      </c>
      <c r="K8" s="3" t="s">
        <v>33</v>
      </c>
      <c r="L8" s="3" t="s">
        <v>64</v>
      </c>
      <c r="M8" s="3" t="s">
        <v>65</v>
      </c>
      <c r="N8" s="3">
        <v>10</v>
      </c>
      <c r="O8" s="3">
        <v>0.1</v>
      </c>
      <c r="P8" s="3">
        <v>2857.57</v>
      </c>
      <c r="Q8" s="3">
        <v>995.56</v>
      </c>
    </row>
    <row r="9" spans="1:19" x14ac:dyDescent="0.3">
      <c r="A9" s="3">
        <v>8</v>
      </c>
      <c r="B9" s="3" t="s">
        <v>66</v>
      </c>
      <c r="C9" s="3" t="s">
        <v>947</v>
      </c>
      <c r="D9" s="3" t="s">
        <v>948</v>
      </c>
      <c r="E9" s="3" t="s">
        <v>37</v>
      </c>
      <c r="F9" s="3" t="s">
        <v>67</v>
      </c>
      <c r="G9" s="3" t="s">
        <v>30</v>
      </c>
      <c r="H9" s="3" t="s">
        <v>22</v>
      </c>
      <c r="I9" s="3" t="s">
        <v>68</v>
      </c>
      <c r="J9" s="3" t="s">
        <v>69</v>
      </c>
      <c r="K9" s="3" t="s">
        <v>25</v>
      </c>
      <c r="L9" s="3" t="s">
        <v>53</v>
      </c>
      <c r="M9" s="3" t="s">
        <v>54</v>
      </c>
      <c r="N9" s="3">
        <v>7</v>
      </c>
      <c r="O9" s="3">
        <v>0.4</v>
      </c>
      <c r="P9" s="3">
        <v>289.70999999999998</v>
      </c>
      <c r="Q9" s="3">
        <v>19.55</v>
      </c>
    </row>
    <row r="10" spans="1:19" x14ac:dyDescent="0.3">
      <c r="A10" s="3">
        <v>9</v>
      </c>
      <c r="B10" s="3" t="s">
        <v>70</v>
      </c>
      <c r="C10" s="3" t="s">
        <v>949</v>
      </c>
      <c r="D10" s="3" t="s">
        <v>950</v>
      </c>
      <c r="E10" s="3" t="s">
        <v>19</v>
      </c>
      <c r="F10" s="3" t="s">
        <v>71</v>
      </c>
      <c r="G10" s="3" t="s">
        <v>21</v>
      </c>
      <c r="H10" s="3" t="s">
        <v>22</v>
      </c>
      <c r="I10" s="3" t="s">
        <v>72</v>
      </c>
      <c r="J10" s="3" t="s">
        <v>73</v>
      </c>
      <c r="K10" s="3" t="s">
        <v>25</v>
      </c>
      <c r="L10" s="3" t="s">
        <v>74</v>
      </c>
      <c r="M10" s="3" t="s">
        <v>75</v>
      </c>
      <c r="N10" s="3">
        <v>13</v>
      </c>
      <c r="O10" s="3">
        <v>0</v>
      </c>
      <c r="P10" s="3">
        <v>300.05</v>
      </c>
      <c r="Q10" s="3">
        <v>81.709999999999994</v>
      </c>
    </row>
    <row r="11" spans="1:19" x14ac:dyDescent="0.3">
      <c r="A11" s="3">
        <v>10</v>
      </c>
      <c r="B11" s="3" t="s">
        <v>76</v>
      </c>
      <c r="C11" s="3" t="s">
        <v>951</v>
      </c>
      <c r="D11" s="3" t="s">
        <v>952</v>
      </c>
      <c r="E11" s="3" t="s">
        <v>62</v>
      </c>
      <c r="F11" s="3" t="s">
        <v>77</v>
      </c>
      <c r="G11" s="3" t="s">
        <v>21</v>
      </c>
      <c r="H11" s="3" t="s">
        <v>46</v>
      </c>
      <c r="I11" s="3" t="s">
        <v>78</v>
      </c>
      <c r="J11" s="3" t="s">
        <v>79</v>
      </c>
      <c r="K11" s="3" t="s">
        <v>25</v>
      </c>
      <c r="L11" s="3" t="s">
        <v>80</v>
      </c>
      <c r="M11" s="3" t="s">
        <v>81</v>
      </c>
      <c r="N11" s="3">
        <v>8</v>
      </c>
      <c r="O11" s="3">
        <v>0.2</v>
      </c>
      <c r="P11" s="3">
        <v>32.32</v>
      </c>
      <c r="Q11" s="3">
        <v>8.9600000000000009</v>
      </c>
    </row>
    <row r="12" spans="1:19" x14ac:dyDescent="0.3">
      <c r="A12" s="3">
        <v>11</v>
      </c>
      <c r="B12" s="3" t="s">
        <v>82</v>
      </c>
      <c r="C12" s="3" t="s">
        <v>953</v>
      </c>
      <c r="D12" s="3" t="s">
        <v>954</v>
      </c>
      <c r="E12" s="3" t="s">
        <v>37</v>
      </c>
      <c r="F12" s="3" t="s">
        <v>83</v>
      </c>
      <c r="G12" s="3" t="s">
        <v>39</v>
      </c>
      <c r="H12" s="3" t="s">
        <v>22</v>
      </c>
      <c r="I12" s="3" t="s">
        <v>84</v>
      </c>
      <c r="J12" s="3" t="s">
        <v>85</v>
      </c>
      <c r="K12" s="3" t="s">
        <v>58</v>
      </c>
      <c r="L12" s="3" t="s">
        <v>86</v>
      </c>
      <c r="M12" s="3" t="s">
        <v>87</v>
      </c>
      <c r="N12" s="3">
        <v>9</v>
      </c>
      <c r="O12" s="3">
        <v>0.3</v>
      </c>
      <c r="P12" s="3">
        <v>881.32</v>
      </c>
      <c r="Q12" s="3">
        <v>289.62</v>
      </c>
    </row>
    <row r="13" spans="1:19" x14ac:dyDescent="0.3">
      <c r="A13" s="3">
        <v>12</v>
      </c>
      <c r="B13" s="3" t="s">
        <v>88</v>
      </c>
      <c r="C13" s="3" t="s">
        <v>955</v>
      </c>
      <c r="D13" s="3" t="s">
        <v>956</v>
      </c>
      <c r="E13" s="3" t="s">
        <v>62</v>
      </c>
      <c r="F13" s="3" t="s">
        <v>89</v>
      </c>
      <c r="G13" s="3" t="s">
        <v>21</v>
      </c>
      <c r="H13" s="3" t="s">
        <v>90</v>
      </c>
      <c r="I13" s="3" t="s">
        <v>91</v>
      </c>
      <c r="J13" s="3" t="s">
        <v>92</v>
      </c>
      <c r="K13" s="3" t="s">
        <v>25</v>
      </c>
      <c r="L13" s="3" t="s">
        <v>26</v>
      </c>
      <c r="M13" s="3" t="s">
        <v>27</v>
      </c>
      <c r="N13" s="3">
        <v>1</v>
      </c>
      <c r="O13" s="3">
        <v>0.1</v>
      </c>
      <c r="P13" s="3">
        <v>69.28</v>
      </c>
      <c r="Q13" s="3">
        <v>7.14</v>
      </c>
    </row>
    <row r="14" spans="1:19" x14ac:dyDescent="0.3">
      <c r="A14" s="3">
        <v>13</v>
      </c>
      <c r="B14" s="3" t="s">
        <v>93</v>
      </c>
      <c r="C14" s="3" t="s">
        <v>957</v>
      </c>
      <c r="D14" s="3" t="s">
        <v>958</v>
      </c>
      <c r="E14" s="3" t="s">
        <v>62</v>
      </c>
      <c r="F14" s="3" t="s">
        <v>94</v>
      </c>
      <c r="G14" s="3" t="s">
        <v>21</v>
      </c>
      <c r="H14" s="3" t="s">
        <v>22</v>
      </c>
      <c r="I14" s="3" t="s">
        <v>72</v>
      </c>
      <c r="J14" s="3" t="s">
        <v>73</v>
      </c>
      <c r="K14" s="3" t="s">
        <v>33</v>
      </c>
      <c r="L14" s="3" t="s">
        <v>95</v>
      </c>
      <c r="M14" s="3" t="s">
        <v>96</v>
      </c>
      <c r="N14" s="3">
        <v>4</v>
      </c>
      <c r="O14" s="3">
        <v>0.4</v>
      </c>
      <c r="P14" s="3">
        <v>1369.22</v>
      </c>
      <c r="Q14" s="3">
        <v>-142.66999999999999</v>
      </c>
    </row>
    <row r="15" spans="1:19" x14ac:dyDescent="0.3">
      <c r="A15" s="3">
        <v>14</v>
      </c>
      <c r="B15" s="3" t="s">
        <v>97</v>
      </c>
      <c r="C15" s="3" t="s">
        <v>959</v>
      </c>
      <c r="D15" s="3" t="s">
        <v>960</v>
      </c>
      <c r="E15" s="3" t="s">
        <v>19</v>
      </c>
      <c r="F15" s="3" t="s">
        <v>98</v>
      </c>
      <c r="G15" s="3" t="s">
        <v>21</v>
      </c>
      <c r="H15" s="3" t="s">
        <v>90</v>
      </c>
      <c r="I15" s="3" t="s">
        <v>99</v>
      </c>
      <c r="J15" s="3" t="s">
        <v>100</v>
      </c>
      <c r="K15" s="3" t="s">
        <v>25</v>
      </c>
      <c r="L15" s="3" t="s">
        <v>74</v>
      </c>
      <c r="M15" s="3" t="s">
        <v>101</v>
      </c>
      <c r="N15" s="3">
        <v>11</v>
      </c>
      <c r="O15" s="3">
        <v>0</v>
      </c>
      <c r="P15" s="3">
        <v>1299.45</v>
      </c>
      <c r="Q15" s="3">
        <v>-277.60000000000002</v>
      </c>
    </row>
    <row r="16" spans="1:19" x14ac:dyDescent="0.3">
      <c r="A16" s="3">
        <v>15</v>
      </c>
      <c r="B16" s="3" t="s">
        <v>102</v>
      </c>
      <c r="C16" s="3" t="s">
        <v>961</v>
      </c>
      <c r="D16" s="3" t="s">
        <v>962</v>
      </c>
      <c r="E16" s="3" t="s">
        <v>56</v>
      </c>
      <c r="F16" s="3" t="s">
        <v>103</v>
      </c>
      <c r="G16" s="3" t="s">
        <v>21</v>
      </c>
      <c r="H16" s="3" t="s">
        <v>90</v>
      </c>
      <c r="I16" s="3" t="s">
        <v>104</v>
      </c>
      <c r="J16" s="3" t="s">
        <v>105</v>
      </c>
      <c r="K16" s="3" t="s">
        <v>25</v>
      </c>
      <c r="L16" s="3" t="s">
        <v>106</v>
      </c>
      <c r="M16" s="3" t="s">
        <v>107</v>
      </c>
      <c r="N16" s="3">
        <v>2</v>
      </c>
      <c r="O16" s="3">
        <v>0</v>
      </c>
      <c r="P16" s="3">
        <v>108.58</v>
      </c>
      <c r="Q16" s="3">
        <v>-23.85</v>
      </c>
    </row>
    <row r="17" spans="1:17" x14ac:dyDescent="0.3">
      <c r="A17" s="3">
        <v>16</v>
      </c>
      <c r="B17" s="3" t="s">
        <v>108</v>
      </c>
      <c r="C17" s="3" t="s">
        <v>963</v>
      </c>
      <c r="D17" s="3" t="s">
        <v>964</v>
      </c>
      <c r="E17" s="3" t="s">
        <v>56</v>
      </c>
      <c r="F17" s="3" t="s">
        <v>109</v>
      </c>
      <c r="G17" s="3" t="s">
        <v>39</v>
      </c>
      <c r="H17" s="3" t="s">
        <v>90</v>
      </c>
      <c r="I17" s="3" t="s">
        <v>110</v>
      </c>
      <c r="J17" s="3" t="s">
        <v>111</v>
      </c>
      <c r="K17" s="3" t="s">
        <v>33</v>
      </c>
      <c r="L17" s="3" t="s">
        <v>34</v>
      </c>
      <c r="M17" s="3" t="s">
        <v>43</v>
      </c>
      <c r="N17" s="3">
        <v>1</v>
      </c>
      <c r="O17" s="3">
        <v>0.15</v>
      </c>
      <c r="P17" s="3">
        <v>659.03</v>
      </c>
      <c r="Q17" s="3">
        <v>201.6</v>
      </c>
    </row>
    <row r="18" spans="1:17" x14ac:dyDescent="0.3">
      <c r="A18" s="3">
        <v>17</v>
      </c>
      <c r="B18" s="3" t="s">
        <v>112</v>
      </c>
      <c r="C18" s="3" t="s">
        <v>965</v>
      </c>
      <c r="D18" s="3" t="s">
        <v>966</v>
      </c>
      <c r="E18" s="3" t="s">
        <v>19</v>
      </c>
      <c r="F18" s="3" t="s">
        <v>113</v>
      </c>
      <c r="G18" s="3" t="s">
        <v>21</v>
      </c>
      <c r="H18" s="3" t="s">
        <v>40</v>
      </c>
      <c r="I18" s="3" t="s">
        <v>114</v>
      </c>
      <c r="J18" s="3" t="s">
        <v>115</v>
      </c>
      <c r="K18" s="3" t="s">
        <v>25</v>
      </c>
      <c r="L18" s="3" t="s">
        <v>116</v>
      </c>
      <c r="M18" s="3" t="s">
        <v>117</v>
      </c>
      <c r="N18" s="3">
        <v>12</v>
      </c>
      <c r="O18" s="3">
        <v>0</v>
      </c>
      <c r="P18" s="3">
        <v>468.06</v>
      </c>
      <c r="Q18" s="3">
        <v>47.04</v>
      </c>
    </row>
    <row r="19" spans="1:17" x14ac:dyDescent="0.3">
      <c r="A19" s="3">
        <v>18</v>
      </c>
      <c r="B19" s="3" t="s">
        <v>118</v>
      </c>
      <c r="C19" s="3" t="s">
        <v>967</v>
      </c>
      <c r="D19" s="3" t="s">
        <v>968</v>
      </c>
      <c r="E19" s="3" t="s">
        <v>37</v>
      </c>
      <c r="F19" s="3" t="s">
        <v>119</v>
      </c>
      <c r="G19" s="3" t="s">
        <v>39</v>
      </c>
      <c r="H19" s="3" t="s">
        <v>22</v>
      </c>
      <c r="I19" s="3" t="s">
        <v>31</v>
      </c>
      <c r="J19" s="3" t="s">
        <v>32</v>
      </c>
      <c r="K19" s="3" t="s">
        <v>33</v>
      </c>
      <c r="L19" s="3" t="s">
        <v>95</v>
      </c>
      <c r="M19" s="3" t="s">
        <v>120</v>
      </c>
      <c r="N19" s="3">
        <v>4</v>
      </c>
      <c r="O19" s="3">
        <v>0</v>
      </c>
      <c r="P19" s="3">
        <v>1663.08</v>
      </c>
      <c r="Q19" s="3">
        <v>202.28</v>
      </c>
    </row>
    <row r="20" spans="1:17" x14ac:dyDescent="0.3">
      <c r="A20" s="3">
        <v>19</v>
      </c>
      <c r="B20" s="3" t="s">
        <v>121</v>
      </c>
      <c r="C20" s="3" t="s">
        <v>969</v>
      </c>
      <c r="D20" s="3" t="s">
        <v>970</v>
      </c>
      <c r="E20" s="3" t="s">
        <v>62</v>
      </c>
      <c r="F20" s="3" t="s">
        <v>122</v>
      </c>
      <c r="G20" s="3" t="s">
        <v>39</v>
      </c>
      <c r="H20" s="3" t="s">
        <v>46</v>
      </c>
      <c r="I20" s="3" t="s">
        <v>78</v>
      </c>
      <c r="J20" s="3" t="s">
        <v>79</v>
      </c>
      <c r="K20" s="3" t="s">
        <v>25</v>
      </c>
      <c r="L20" s="3" t="s">
        <v>106</v>
      </c>
      <c r="M20" s="3" t="s">
        <v>123</v>
      </c>
      <c r="N20" s="3">
        <v>3</v>
      </c>
      <c r="O20" s="3">
        <v>0.15</v>
      </c>
      <c r="P20" s="3">
        <v>232.81</v>
      </c>
      <c r="Q20" s="3">
        <v>5.67</v>
      </c>
    </row>
    <row r="21" spans="1:17" x14ac:dyDescent="0.3">
      <c r="A21" s="3">
        <v>20</v>
      </c>
      <c r="B21" s="3" t="s">
        <v>124</v>
      </c>
      <c r="C21" s="3" t="s">
        <v>971</v>
      </c>
      <c r="D21" s="3" t="s">
        <v>972</v>
      </c>
      <c r="E21" s="3" t="s">
        <v>37</v>
      </c>
      <c r="F21" s="3" t="s">
        <v>125</v>
      </c>
      <c r="G21" s="3" t="s">
        <v>21</v>
      </c>
      <c r="H21" s="3" t="s">
        <v>22</v>
      </c>
      <c r="I21" s="3" t="s">
        <v>31</v>
      </c>
      <c r="J21" s="3" t="s">
        <v>32</v>
      </c>
      <c r="K21" s="3" t="s">
        <v>33</v>
      </c>
      <c r="L21" s="3" t="s">
        <v>64</v>
      </c>
      <c r="M21" s="3" t="s">
        <v>126</v>
      </c>
      <c r="N21" s="3">
        <v>4</v>
      </c>
      <c r="O21" s="3">
        <v>0</v>
      </c>
      <c r="P21" s="3">
        <v>1097.72</v>
      </c>
      <c r="Q21" s="3">
        <v>14.17</v>
      </c>
    </row>
    <row r="22" spans="1:17" x14ac:dyDescent="0.3">
      <c r="A22" s="3">
        <v>21</v>
      </c>
      <c r="B22" s="3" t="s">
        <v>127</v>
      </c>
      <c r="C22" s="3" t="s">
        <v>973</v>
      </c>
      <c r="D22" s="3" t="s">
        <v>974</v>
      </c>
      <c r="E22" s="3" t="s">
        <v>37</v>
      </c>
      <c r="F22" s="3" t="s">
        <v>128</v>
      </c>
      <c r="G22" s="3" t="s">
        <v>30</v>
      </c>
      <c r="H22" s="3" t="s">
        <v>22</v>
      </c>
      <c r="I22" s="3" t="s">
        <v>68</v>
      </c>
      <c r="J22" s="3" t="s">
        <v>69</v>
      </c>
      <c r="K22" s="3" t="s">
        <v>25</v>
      </c>
      <c r="L22" s="3" t="s">
        <v>116</v>
      </c>
      <c r="M22" s="3" t="s">
        <v>117</v>
      </c>
      <c r="N22" s="3">
        <v>5</v>
      </c>
      <c r="O22" s="3">
        <v>0.1</v>
      </c>
      <c r="P22" s="3">
        <v>170.95</v>
      </c>
      <c r="Q22" s="3">
        <v>30.87</v>
      </c>
    </row>
    <row r="23" spans="1:17" x14ac:dyDescent="0.3">
      <c r="A23" s="3">
        <v>22</v>
      </c>
      <c r="B23" s="3" t="s">
        <v>129</v>
      </c>
      <c r="C23" s="3" t="s">
        <v>975</v>
      </c>
      <c r="D23" s="3" t="s">
        <v>976</v>
      </c>
      <c r="E23" s="3" t="s">
        <v>62</v>
      </c>
      <c r="F23" s="3" t="s">
        <v>130</v>
      </c>
      <c r="G23" s="3" t="s">
        <v>39</v>
      </c>
      <c r="H23" s="3" t="s">
        <v>22</v>
      </c>
      <c r="I23" s="3" t="s">
        <v>23</v>
      </c>
      <c r="J23" s="3" t="s">
        <v>24</v>
      </c>
      <c r="K23" s="3" t="s">
        <v>25</v>
      </c>
      <c r="L23" s="3" t="s">
        <v>106</v>
      </c>
      <c r="M23" s="3" t="s">
        <v>123</v>
      </c>
      <c r="N23" s="3">
        <v>13</v>
      </c>
      <c r="O23" s="3">
        <v>0.15</v>
      </c>
      <c r="P23" s="3">
        <v>216.48</v>
      </c>
      <c r="Q23" s="3">
        <v>-33.130000000000003</v>
      </c>
    </row>
    <row r="24" spans="1:17" x14ac:dyDescent="0.3">
      <c r="A24" s="3">
        <v>23</v>
      </c>
      <c r="B24" s="3" t="s">
        <v>131</v>
      </c>
      <c r="C24" s="3" t="s">
        <v>977</v>
      </c>
      <c r="D24" s="3" t="s">
        <v>978</v>
      </c>
      <c r="E24" s="3" t="s">
        <v>37</v>
      </c>
      <c r="F24" s="3" t="s">
        <v>132</v>
      </c>
      <c r="G24" s="3" t="s">
        <v>21</v>
      </c>
      <c r="H24" s="3" t="s">
        <v>22</v>
      </c>
      <c r="I24" s="3" t="s">
        <v>23</v>
      </c>
      <c r="J24" s="3" t="s">
        <v>24</v>
      </c>
      <c r="K24" s="3" t="s">
        <v>58</v>
      </c>
      <c r="L24" s="3" t="s">
        <v>86</v>
      </c>
      <c r="M24" s="3" t="s">
        <v>133</v>
      </c>
      <c r="N24" s="3">
        <v>6</v>
      </c>
      <c r="O24" s="3">
        <v>0</v>
      </c>
      <c r="P24" s="3">
        <v>1822.68</v>
      </c>
      <c r="Q24" s="3">
        <v>14.35</v>
      </c>
    </row>
    <row r="25" spans="1:17" x14ac:dyDescent="0.3">
      <c r="A25" s="3">
        <v>24</v>
      </c>
      <c r="B25" s="3" t="s">
        <v>134</v>
      </c>
      <c r="C25" s="3" t="s">
        <v>979</v>
      </c>
      <c r="D25" s="3" t="s">
        <v>980</v>
      </c>
      <c r="E25" s="3" t="s">
        <v>37</v>
      </c>
      <c r="F25" s="3" t="s">
        <v>135</v>
      </c>
      <c r="G25" s="3" t="s">
        <v>21</v>
      </c>
      <c r="H25" s="3" t="s">
        <v>40</v>
      </c>
      <c r="I25" s="3" t="s">
        <v>114</v>
      </c>
      <c r="J25" s="3" t="s">
        <v>115</v>
      </c>
      <c r="K25" s="3" t="s">
        <v>25</v>
      </c>
      <c r="L25" s="3" t="s">
        <v>106</v>
      </c>
      <c r="M25" s="3" t="s">
        <v>136</v>
      </c>
      <c r="N25" s="3">
        <v>12</v>
      </c>
      <c r="O25" s="3">
        <v>0.1</v>
      </c>
      <c r="P25" s="3">
        <v>235.56</v>
      </c>
      <c r="Q25" s="3">
        <v>63.31</v>
      </c>
    </row>
    <row r="26" spans="1:17" x14ac:dyDescent="0.3">
      <c r="A26" s="3">
        <v>25</v>
      </c>
      <c r="B26" s="3" t="s">
        <v>137</v>
      </c>
      <c r="C26" s="3" t="s">
        <v>981</v>
      </c>
      <c r="D26" s="3" t="s">
        <v>982</v>
      </c>
      <c r="E26" s="3" t="s">
        <v>19</v>
      </c>
      <c r="F26" s="3" t="s">
        <v>138</v>
      </c>
      <c r="G26" s="3" t="s">
        <v>21</v>
      </c>
      <c r="H26" s="3" t="s">
        <v>90</v>
      </c>
      <c r="I26" s="3" t="s">
        <v>104</v>
      </c>
      <c r="J26" s="3" t="s">
        <v>105</v>
      </c>
      <c r="K26" s="3" t="s">
        <v>25</v>
      </c>
      <c r="L26" s="3" t="s">
        <v>53</v>
      </c>
      <c r="M26" s="3" t="s">
        <v>139</v>
      </c>
      <c r="N26" s="3">
        <v>1</v>
      </c>
      <c r="O26" s="3">
        <v>0.1</v>
      </c>
      <c r="P26" s="3">
        <v>100.21</v>
      </c>
      <c r="Q26" s="3">
        <v>-13.05</v>
      </c>
    </row>
    <row r="27" spans="1:17" x14ac:dyDescent="0.3">
      <c r="A27" s="3">
        <v>26</v>
      </c>
      <c r="B27" s="3" t="s">
        <v>140</v>
      </c>
      <c r="C27" s="3" t="s">
        <v>983</v>
      </c>
      <c r="D27" s="3" t="s">
        <v>984</v>
      </c>
      <c r="E27" s="3" t="s">
        <v>37</v>
      </c>
      <c r="F27" s="3" t="s">
        <v>141</v>
      </c>
      <c r="G27" s="3" t="s">
        <v>39</v>
      </c>
      <c r="H27" s="3" t="s">
        <v>22</v>
      </c>
      <c r="I27" s="3" t="s">
        <v>68</v>
      </c>
      <c r="J27" s="3" t="s">
        <v>69</v>
      </c>
      <c r="K27" s="3" t="s">
        <v>25</v>
      </c>
      <c r="L27" s="3" t="s">
        <v>106</v>
      </c>
      <c r="M27" s="3" t="s">
        <v>123</v>
      </c>
      <c r="N27" s="3">
        <v>11</v>
      </c>
      <c r="O27" s="3">
        <v>0.2</v>
      </c>
      <c r="P27" s="3">
        <v>642.22</v>
      </c>
      <c r="Q27" s="3">
        <v>201.36</v>
      </c>
    </row>
    <row r="28" spans="1:17" x14ac:dyDescent="0.3">
      <c r="A28" s="3">
        <v>27</v>
      </c>
      <c r="B28" s="3" t="s">
        <v>142</v>
      </c>
      <c r="C28" s="3" t="s">
        <v>985</v>
      </c>
      <c r="D28" s="3" t="s">
        <v>986</v>
      </c>
      <c r="E28" s="3" t="s">
        <v>56</v>
      </c>
      <c r="F28" s="3" t="s">
        <v>143</v>
      </c>
      <c r="G28" s="3" t="s">
        <v>39</v>
      </c>
      <c r="H28" s="3" t="s">
        <v>22</v>
      </c>
      <c r="I28" s="3" t="s">
        <v>23</v>
      </c>
      <c r="J28" s="3" t="s">
        <v>24</v>
      </c>
      <c r="K28" s="3" t="s">
        <v>25</v>
      </c>
      <c r="L28" s="3" t="s">
        <v>106</v>
      </c>
      <c r="M28" s="3" t="s">
        <v>136</v>
      </c>
      <c r="N28" s="3">
        <v>10</v>
      </c>
      <c r="O28" s="3">
        <v>0</v>
      </c>
      <c r="P28" s="3">
        <v>1181.4000000000001</v>
      </c>
      <c r="Q28" s="3">
        <v>-22.31</v>
      </c>
    </row>
    <row r="29" spans="1:17" x14ac:dyDescent="0.3">
      <c r="A29" s="3">
        <v>28</v>
      </c>
      <c r="B29" s="3" t="s">
        <v>987</v>
      </c>
      <c r="C29" s="3" t="s">
        <v>988</v>
      </c>
      <c r="D29" s="3" t="s">
        <v>989</v>
      </c>
      <c r="E29" s="3" t="s">
        <v>56</v>
      </c>
      <c r="F29" s="3" t="s">
        <v>990</v>
      </c>
      <c r="G29" s="3" t="s">
        <v>30</v>
      </c>
      <c r="H29" s="3" t="s">
        <v>22</v>
      </c>
      <c r="I29" s="3" t="s">
        <v>31</v>
      </c>
      <c r="J29" s="3" t="s">
        <v>32</v>
      </c>
      <c r="K29" s="3" t="s">
        <v>58</v>
      </c>
      <c r="L29" s="3" t="s">
        <v>86</v>
      </c>
      <c r="M29" s="3" t="s">
        <v>211</v>
      </c>
      <c r="N29" s="3">
        <v>11</v>
      </c>
      <c r="O29" s="3">
        <v>0.2</v>
      </c>
      <c r="P29" s="3">
        <v>4784.96</v>
      </c>
      <c r="Q29" s="3">
        <v>708.33</v>
      </c>
    </row>
    <row r="30" spans="1:17" x14ac:dyDescent="0.3">
      <c r="A30" s="3">
        <v>29</v>
      </c>
      <c r="B30" s="3" t="s">
        <v>144</v>
      </c>
      <c r="C30" s="3" t="s">
        <v>991</v>
      </c>
      <c r="D30" s="3" t="s">
        <v>992</v>
      </c>
      <c r="E30" s="3" t="s">
        <v>37</v>
      </c>
      <c r="F30" s="3" t="s">
        <v>145</v>
      </c>
      <c r="G30" s="3" t="s">
        <v>21</v>
      </c>
      <c r="H30" s="3" t="s">
        <v>46</v>
      </c>
      <c r="I30" s="3" t="s">
        <v>146</v>
      </c>
      <c r="J30" s="3" t="s">
        <v>147</v>
      </c>
      <c r="K30" s="3" t="s">
        <v>25</v>
      </c>
      <c r="L30" s="3" t="s">
        <v>80</v>
      </c>
      <c r="M30" s="3" t="s">
        <v>81</v>
      </c>
      <c r="N30" s="3">
        <v>11</v>
      </c>
      <c r="O30" s="3">
        <v>0</v>
      </c>
      <c r="P30" s="3">
        <v>1242.5899999999999</v>
      </c>
      <c r="Q30" s="3">
        <v>148.25</v>
      </c>
    </row>
    <row r="31" spans="1:17" x14ac:dyDescent="0.3">
      <c r="A31" s="3">
        <v>30</v>
      </c>
      <c r="B31" s="3" t="s">
        <v>148</v>
      </c>
      <c r="C31" s="3" t="s">
        <v>993</v>
      </c>
      <c r="D31" s="3" t="s">
        <v>994</v>
      </c>
      <c r="E31" s="3" t="s">
        <v>37</v>
      </c>
      <c r="F31" s="3" t="s">
        <v>149</v>
      </c>
      <c r="G31" s="3" t="s">
        <v>39</v>
      </c>
      <c r="H31" s="3" t="s">
        <v>46</v>
      </c>
      <c r="I31" s="3" t="s">
        <v>78</v>
      </c>
      <c r="J31" s="3" t="s">
        <v>79</v>
      </c>
      <c r="K31" s="3" t="s">
        <v>25</v>
      </c>
      <c r="L31" s="3" t="s">
        <v>80</v>
      </c>
      <c r="M31" s="3" t="s">
        <v>150</v>
      </c>
      <c r="N31" s="3">
        <v>8</v>
      </c>
      <c r="O31" s="3">
        <v>0.4</v>
      </c>
      <c r="P31" s="3">
        <v>575.34</v>
      </c>
      <c r="Q31" s="3">
        <v>130.16999999999999</v>
      </c>
    </row>
    <row r="32" spans="1:17" x14ac:dyDescent="0.3">
      <c r="A32" s="3">
        <v>31</v>
      </c>
      <c r="B32" s="3" t="s">
        <v>151</v>
      </c>
      <c r="C32" s="3" t="s">
        <v>995</v>
      </c>
      <c r="D32" s="3" t="s">
        <v>996</v>
      </c>
      <c r="E32" s="3" t="s">
        <v>19</v>
      </c>
      <c r="F32" s="3" t="s">
        <v>152</v>
      </c>
      <c r="G32" s="3" t="s">
        <v>39</v>
      </c>
      <c r="H32" s="3" t="s">
        <v>22</v>
      </c>
      <c r="I32" s="3" t="s">
        <v>68</v>
      </c>
      <c r="J32" s="3" t="s">
        <v>69</v>
      </c>
      <c r="K32" s="3" t="s">
        <v>25</v>
      </c>
      <c r="L32" s="3" t="s">
        <v>26</v>
      </c>
      <c r="M32" s="3" t="s">
        <v>27</v>
      </c>
      <c r="N32" s="3">
        <v>1</v>
      </c>
      <c r="O32" s="3">
        <v>0.4</v>
      </c>
      <c r="P32" s="3">
        <v>27.18</v>
      </c>
      <c r="Q32" s="3">
        <v>3.17</v>
      </c>
    </row>
    <row r="33" spans="1:17" x14ac:dyDescent="0.3">
      <c r="A33" s="3">
        <v>32</v>
      </c>
      <c r="B33" s="3" t="s">
        <v>153</v>
      </c>
      <c r="C33" s="3" t="s">
        <v>997</v>
      </c>
      <c r="D33" s="3" t="s">
        <v>998</v>
      </c>
      <c r="E33" s="3" t="s">
        <v>62</v>
      </c>
      <c r="F33" s="3" t="s">
        <v>154</v>
      </c>
      <c r="G33" s="3" t="s">
        <v>30</v>
      </c>
      <c r="H33" s="3" t="s">
        <v>90</v>
      </c>
      <c r="I33" s="3" t="s">
        <v>110</v>
      </c>
      <c r="J33" s="3" t="s">
        <v>111</v>
      </c>
      <c r="K33" s="3" t="s">
        <v>25</v>
      </c>
      <c r="L33" s="3" t="s">
        <v>26</v>
      </c>
      <c r="M33" s="3" t="s">
        <v>155</v>
      </c>
      <c r="N33" s="3">
        <v>13</v>
      </c>
      <c r="O33" s="3">
        <v>0</v>
      </c>
      <c r="P33" s="3">
        <v>1345.92</v>
      </c>
      <c r="Q33" s="3">
        <v>292.13</v>
      </c>
    </row>
    <row r="34" spans="1:17" x14ac:dyDescent="0.3">
      <c r="A34" s="3">
        <v>33</v>
      </c>
      <c r="B34" s="3" t="s">
        <v>156</v>
      </c>
      <c r="C34" s="3" t="s">
        <v>999</v>
      </c>
      <c r="D34" s="3" t="s">
        <v>1000</v>
      </c>
      <c r="E34" s="3" t="s">
        <v>56</v>
      </c>
      <c r="F34" s="3" t="s">
        <v>157</v>
      </c>
      <c r="G34" s="3" t="s">
        <v>21</v>
      </c>
      <c r="H34" s="3" t="s">
        <v>40</v>
      </c>
      <c r="I34" s="3" t="s">
        <v>158</v>
      </c>
      <c r="J34" s="3" t="s">
        <v>159</v>
      </c>
      <c r="K34" s="3" t="s">
        <v>25</v>
      </c>
      <c r="L34" s="3" t="s">
        <v>74</v>
      </c>
      <c r="M34" s="3" t="s">
        <v>101</v>
      </c>
      <c r="N34" s="3">
        <v>10</v>
      </c>
      <c r="O34" s="3">
        <v>0.4</v>
      </c>
      <c r="P34" s="3">
        <v>347.08</v>
      </c>
      <c r="Q34" s="3">
        <v>40.81</v>
      </c>
    </row>
    <row r="35" spans="1:17" x14ac:dyDescent="0.3">
      <c r="A35" s="3">
        <v>34</v>
      </c>
      <c r="B35" s="3" t="s">
        <v>160</v>
      </c>
      <c r="C35" s="3" t="s">
        <v>1001</v>
      </c>
      <c r="D35" s="3" t="s">
        <v>1002</v>
      </c>
      <c r="E35" s="3" t="s">
        <v>37</v>
      </c>
      <c r="F35" s="3" t="s">
        <v>161</v>
      </c>
      <c r="G35" s="3" t="s">
        <v>30</v>
      </c>
      <c r="H35" s="3" t="s">
        <v>90</v>
      </c>
      <c r="I35" s="3" t="s">
        <v>99</v>
      </c>
      <c r="J35" s="3" t="s">
        <v>100</v>
      </c>
      <c r="K35" s="3" t="s">
        <v>25</v>
      </c>
      <c r="L35" s="3" t="s">
        <v>53</v>
      </c>
      <c r="M35" s="3" t="s">
        <v>54</v>
      </c>
      <c r="N35" s="3">
        <v>11</v>
      </c>
      <c r="O35" s="3">
        <v>0.4</v>
      </c>
      <c r="P35" s="3">
        <v>292.64</v>
      </c>
      <c r="Q35" s="3">
        <v>-59.56</v>
      </c>
    </row>
    <row r="36" spans="1:17" x14ac:dyDescent="0.3">
      <c r="A36" s="3">
        <v>35</v>
      </c>
      <c r="B36" s="3" t="s">
        <v>162</v>
      </c>
      <c r="C36" s="3" t="s">
        <v>1003</v>
      </c>
      <c r="D36" s="3" t="s">
        <v>1004</v>
      </c>
      <c r="E36" s="3" t="s">
        <v>56</v>
      </c>
      <c r="F36" s="3" t="s">
        <v>163</v>
      </c>
      <c r="G36" s="3" t="s">
        <v>30</v>
      </c>
      <c r="H36" s="3" t="s">
        <v>22</v>
      </c>
      <c r="I36" s="3" t="s">
        <v>68</v>
      </c>
      <c r="J36" s="3" t="s">
        <v>69</v>
      </c>
      <c r="K36" s="3" t="s">
        <v>33</v>
      </c>
      <c r="L36" s="3" t="s">
        <v>34</v>
      </c>
      <c r="M36" s="3" t="s">
        <v>35</v>
      </c>
      <c r="N36" s="3">
        <v>2</v>
      </c>
      <c r="O36" s="3">
        <v>0.2</v>
      </c>
      <c r="P36" s="3">
        <v>573.47</v>
      </c>
      <c r="Q36" s="3">
        <v>43.34</v>
      </c>
    </row>
    <row r="37" spans="1:17" x14ac:dyDescent="0.3">
      <c r="A37" s="3">
        <v>36</v>
      </c>
      <c r="B37" s="3" t="s">
        <v>164</v>
      </c>
      <c r="C37" s="3" t="s">
        <v>1005</v>
      </c>
      <c r="D37" s="3" t="s">
        <v>1006</v>
      </c>
      <c r="E37" s="3" t="s">
        <v>56</v>
      </c>
      <c r="F37" s="3" t="s">
        <v>165</v>
      </c>
      <c r="G37" s="3" t="s">
        <v>30</v>
      </c>
      <c r="H37" s="3" t="s">
        <v>22</v>
      </c>
      <c r="I37" s="3" t="s">
        <v>31</v>
      </c>
      <c r="J37" s="3" t="s">
        <v>32</v>
      </c>
      <c r="K37" s="3" t="s">
        <v>25</v>
      </c>
      <c r="L37" s="3" t="s">
        <v>116</v>
      </c>
      <c r="M37" s="3" t="s">
        <v>166</v>
      </c>
      <c r="N37" s="3">
        <v>7</v>
      </c>
      <c r="O37" s="3">
        <v>0.3</v>
      </c>
      <c r="P37" s="3">
        <v>654.24</v>
      </c>
      <c r="Q37" s="3">
        <v>47.72</v>
      </c>
    </row>
    <row r="38" spans="1:17" x14ac:dyDescent="0.3">
      <c r="A38" s="3">
        <v>37</v>
      </c>
      <c r="B38" s="3" t="s">
        <v>167</v>
      </c>
      <c r="C38" s="3" t="s">
        <v>1007</v>
      </c>
      <c r="D38" s="3" t="s">
        <v>1008</v>
      </c>
      <c r="E38" s="3" t="s">
        <v>62</v>
      </c>
      <c r="F38" s="3" t="s">
        <v>168</v>
      </c>
      <c r="G38" s="3" t="s">
        <v>39</v>
      </c>
      <c r="H38" s="3" t="s">
        <v>90</v>
      </c>
      <c r="I38" s="3" t="s">
        <v>169</v>
      </c>
      <c r="J38" s="3" t="s">
        <v>170</v>
      </c>
      <c r="K38" s="3" t="s">
        <v>25</v>
      </c>
      <c r="L38" s="3" t="s">
        <v>53</v>
      </c>
      <c r="M38" s="3" t="s">
        <v>171</v>
      </c>
      <c r="N38" s="3">
        <v>3</v>
      </c>
      <c r="O38" s="3">
        <v>0</v>
      </c>
      <c r="P38" s="3">
        <v>303.54000000000002</v>
      </c>
      <c r="Q38" s="3">
        <v>102.73</v>
      </c>
    </row>
    <row r="39" spans="1:17" x14ac:dyDescent="0.3">
      <c r="A39" s="3">
        <v>38</v>
      </c>
      <c r="B39" s="3" t="s">
        <v>172</v>
      </c>
      <c r="C39" s="3" t="s">
        <v>1009</v>
      </c>
      <c r="D39" s="3" t="s">
        <v>1010</v>
      </c>
      <c r="E39" s="3" t="s">
        <v>62</v>
      </c>
      <c r="F39" s="3" t="s">
        <v>173</v>
      </c>
      <c r="G39" s="3" t="s">
        <v>30</v>
      </c>
      <c r="H39" s="3" t="s">
        <v>22</v>
      </c>
      <c r="I39" s="3" t="s">
        <v>84</v>
      </c>
      <c r="J39" s="3" t="s">
        <v>85</v>
      </c>
      <c r="K39" s="3" t="s">
        <v>33</v>
      </c>
      <c r="L39" s="3" t="s">
        <v>34</v>
      </c>
      <c r="M39" s="3" t="s">
        <v>35</v>
      </c>
      <c r="N39" s="3">
        <v>7</v>
      </c>
      <c r="O39" s="3">
        <v>0.4</v>
      </c>
      <c r="P39" s="3">
        <v>1515.13</v>
      </c>
      <c r="Q39" s="3">
        <v>-81.650000000000006</v>
      </c>
    </row>
    <row r="40" spans="1:17" x14ac:dyDescent="0.3">
      <c r="A40" s="3">
        <v>39</v>
      </c>
      <c r="B40" s="3" t="s">
        <v>174</v>
      </c>
      <c r="C40" s="3" t="s">
        <v>1011</v>
      </c>
      <c r="D40" s="3" t="s">
        <v>1012</v>
      </c>
      <c r="E40" s="3" t="s">
        <v>19</v>
      </c>
      <c r="F40" s="3" t="s">
        <v>175</v>
      </c>
      <c r="G40" s="3" t="s">
        <v>39</v>
      </c>
      <c r="H40" s="3" t="s">
        <v>90</v>
      </c>
      <c r="I40" s="3" t="s">
        <v>169</v>
      </c>
      <c r="J40" s="3" t="s">
        <v>170</v>
      </c>
      <c r="K40" s="3" t="s">
        <v>25</v>
      </c>
      <c r="L40" s="3" t="s">
        <v>116</v>
      </c>
      <c r="M40" s="3" t="s">
        <v>166</v>
      </c>
      <c r="N40" s="3">
        <v>2</v>
      </c>
      <c r="O40" s="3">
        <v>0</v>
      </c>
      <c r="P40" s="3">
        <v>188.37</v>
      </c>
      <c r="Q40" s="3">
        <v>38.15</v>
      </c>
    </row>
    <row r="41" spans="1:17" x14ac:dyDescent="0.3">
      <c r="A41" s="3">
        <v>40</v>
      </c>
      <c r="B41" s="3" t="s">
        <v>176</v>
      </c>
      <c r="C41" s="3" t="s">
        <v>1013</v>
      </c>
      <c r="D41" s="3" t="s">
        <v>1014</v>
      </c>
      <c r="E41" s="3" t="s">
        <v>62</v>
      </c>
      <c r="F41" s="3" t="s">
        <v>177</v>
      </c>
      <c r="G41" s="3" t="s">
        <v>21</v>
      </c>
      <c r="H41" s="3" t="s">
        <v>40</v>
      </c>
      <c r="I41" s="3" t="s">
        <v>114</v>
      </c>
      <c r="J41" s="3" t="s">
        <v>115</v>
      </c>
      <c r="K41" s="3" t="s">
        <v>25</v>
      </c>
      <c r="L41" s="3" t="s">
        <v>116</v>
      </c>
      <c r="M41" s="3" t="s">
        <v>117</v>
      </c>
      <c r="N41" s="3">
        <v>12</v>
      </c>
      <c r="O41" s="3">
        <v>0.2</v>
      </c>
      <c r="P41" s="3">
        <v>363.63</v>
      </c>
      <c r="Q41" s="3">
        <v>-54.3</v>
      </c>
    </row>
    <row r="42" spans="1:17" x14ac:dyDescent="0.3">
      <c r="A42" s="3">
        <v>41</v>
      </c>
      <c r="B42" s="3" t="s">
        <v>178</v>
      </c>
      <c r="C42" s="3" t="s">
        <v>1015</v>
      </c>
      <c r="D42" s="3" t="s">
        <v>1016</v>
      </c>
      <c r="E42" s="3" t="s">
        <v>62</v>
      </c>
      <c r="F42" s="3" t="s">
        <v>179</v>
      </c>
      <c r="G42" s="3" t="s">
        <v>39</v>
      </c>
      <c r="H42" s="3" t="s">
        <v>46</v>
      </c>
      <c r="I42" s="3" t="s">
        <v>47</v>
      </c>
      <c r="J42" s="3" t="s">
        <v>48</v>
      </c>
      <c r="K42" s="3" t="s">
        <v>25</v>
      </c>
      <c r="L42" s="3" t="s">
        <v>74</v>
      </c>
      <c r="M42" s="3" t="s">
        <v>180</v>
      </c>
      <c r="N42" s="3">
        <v>10</v>
      </c>
      <c r="O42" s="3">
        <v>0.1</v>
      </c>
      <c r="P42" s="3">
        <v>809.88</v>
      </c>
      <c r="Q42" s="3">
        <v>-152.94999999999999</v>
      </c>
    </row>
    <row r="43" spans="1:17" x14ac:dyDescent="0.3">
      <c r="A43" s="3">
        <v>42</v>
      </c>
      <c r="B43" s="3" t="s">
        <v>181</v>
      </c>
      <c r="C43" s="3" t="s">
        <v>1017</v>
      </c>
      <c r="D43" s="3" t="s">
        <v>1018</v>
      </c>
      <c r="E43" s="3" t="s">
        <v>56</v>
      </c>
      <c r="F43" s="3" t="s">
        <v>182</v>
      </c>
      <c r="G43" s="3" t="s">
        <v>39</v>
      </c>
      <c r="H43" s="3" t="s">
        <v>46</v>
      </c>
      <c r="I43" s="3" t="s">
        <v>47</v>
      </c>
      <c r="J43" s="3" t="s">
        <v>48</v>
      </c>
      <c r="K43" s="3" t="s">
        <v>25</v>
      </c>
      <c r="L43" s="3" t="s">
        <v>106</v>
      </c>
      <c r="M43" s="3" t="s">
        <v>123</v>
      </c>
      <c r="N43" s="3">
        <v>6</v>
      </c>
      <c r="O43" s="3">
        <v>0.3</v>
      </c>
      <c r="P43" s="3">
        <v>19.07</v>
      </c>
      <c r="Q43" s="3">
        <v>4.6399999999999997</v>
      </c>
    </row>
    <row r="44" spans="1:17" x14ac:dyDescent="0.3">
      <c r="A44" s="3">
        <v>43</v>
      </c>
      <c r="B44" s="3" t="s">
        <v>183</v>
      </c>
      <c r="C44" s="3" t="s">
        <v>1019</v>
      </c>
      <c r="D44" s="3" t="s">
        <v>1020</v>
      </c>
      <c r="E44" s="3" t="s">
        <v>19</v>
      </c>
      <c r="F44" s="3" t="s">
        <v>184</v>
      </c>
      <c r="G44" s="3" t="s">
        <v>30</v>
      </c>
      <c r="H44" s="3" t="s">
        <v>40</v>
      </c>
      <c r="I44" s="3" t="s">
        <v>185</v>
      </c>
      <c r="J44" s="3" t="s">
        <v>186</v>
      </c>
      <c r="K44" s="3" t="s">
        <v>33</v>
      </c>
      <c r="L44" s="3" t="s">
        <v>64</v>
      </c>
      <c r="M44" s="3" t="s">
        <v>65</v>
      </c>
      <c r="N44" s="3">
        <v>8</v>
      </c>
      <c r="O44" s="3">
        <v>0.15</v>
      </c>
      <c r="P44" s="3">
        <v>2588.35</v>
      </c>
      <c r="Q44" s="3">
        <v>-146.55000000000001</v>
      </c>
    </row>
    <row r="45" spans="1:17" x14ac:dyDescent="0.3">
      <c r="A45" s="3">
        <v>44</v>
      </c>
      <c r="B45" s="3" t="s">
        <v>187</v>
      </c>
      <c r="C45" s="3" t="s">
        <v>1021</v>
      </c>
      <c r="D45" s="3" t="s">
        <v>1022</v>
      </c>
      <c r="E45" s="3" t="s">
        <v>37</v>
      </c>
      <c r="F45" s="3" t="s">
        <v>188</v>
      </c>
      <c r="G45" s="3" t="s">
        <v>39</v>
      </c>
      <c r="H45" s="3" t="s">
        <v>90</v>
      </c>
      <c r="I45" s="3" t="s">
        <v>91</v>
      </c>
      <c r="J45" s="3" t="s">
        <v>92</v>
      </c>
      <c r="K45" s="3" t="s">
        <v>25</v>
      </c>
      <c r="L45" s="3" t="s">
        <v>74</v>
      </c>
      <c r="M45" s="3" t="s">
        <v>180</v>
      </c>
      <c r="N45" s="3">
        <v>14</v>
      </c>
      <c r="O45" s="3">
        <v>0.4</v>
      </c>
      <c r="P45" s="3">
        <v>497.13</v>
      </c>
      <c r="Q45" s="3">
        <v>-61.01</v>
      </c>
    </row>
    <row r="46" spans="1:17" x14ac:dyDescent="0.3">
      <c r="A46" s="3">
        <v>45</v>
      </c>
      <c r="B46" s="3" t="s">
        <v>189</v>
      </c>
      <c r="C46" s="3" t="s">
        <v>979</v>
      </c>
      <c r="D46" s="3" t="s">
        <v>1023</v>
      </c>
      <c r="E46" s="3" t="s">
        <v>37</v>
      </c>
      <c r="F46" s="3" t="s">
        <v>190</v>
      </c>
      <c r="G46" s="3" t="s">
        <v>21</v>
      </c>
      <c r="H46" s="3" t="s">
        <v>22</v>
      </c>
      <c r="I46" s="3" t="s">
        <v>31</v>
      </c>
      <c r="J46" s="3" t="s">
        <v>32</v>
      </c>
      <c r="K46" s="3" t="s">
        <v>58</v>
      </c>
      <c r="L46" s="3" t="s">
        <v>59</v>
      </c>
      <c r="M46" s="3" t="s">
        <v>60</v>
      </c>
      <c r="N46" s="3">
        <v>9</v>
      </c>
      <c r="O46" s="3">
        <v>0.4</v>
      </c>
      <c r="P46" s="3">
        <v>3059.79</v>
      </c>
      <c r="Q46" s="3">
        <v>420.85</v>
      </c>
    </row>
    <row r="47" spans="1:17" x14ac:dyDescent="0.3">
      <c r="A47" s="3">
        <v>46</v>
      </c>
      <c r="B47" s="3" t="s">
        <v>191</v>
      </c>
      <c r="C47" s="3" t="s">
        <v>1024</v>
      </c>
      <c r="D47" s="3" t="s">
        <v>1025</v>
      </c>
      <c r="E47" s="3" t="s">
        <v>37</v>
      </c>
      <c r="F47" s="3" t="s">
        <v>192</v>
      </c>
      <c r="G47" s="3" t="s">
        <v>30</v>
      </c>
      <c r="H47" s="3" t="s">
        <v>40</v>
      </c>
      <c r="I47" s="3" t="s">
        <v>185</v>
      </c>
      <c r="J47" s="3" t="s">
        <v>186</v>
      </c>
      <c r="K47" s="3" t="s">
        <v>25</v>
      </c>
      <c r="L47" s="3" t="s">
        <v>106</v>
      </c>
      <c r="M47" s="3" t="s">
        <v>136</v>
      </c>
      <c r="N47" s="3">
        <v>8</v>
      </c>
      <c r="O47" s="3">
        <v>0.2</v>
      </c>
      <c r="P47" s="3">
        <v>506.17</v>
      </c>
      <c r="Q47" s="3">
        <v>2.68</v>
      </c>
    </row>
    <row r="48" spans="1:17" x14ac:dyDescent="0.3">
      <c r="A48" s="3">
        <v>47</v>
      </c>
      <c r="B48" s="3" t="s">
        <v>193</v>
      </c>
      <c r="C48" s="3" t="s">
        <v>1026</v>
      </c>
      <c r="D48" s="3" t="s">
        <v>968</v>
      </c>
      <c r="E48" s="3" t="s">
        <v>37</v>
      </c>
      <c r="F48" s="3" t="s">
        <v>194</v>
      </c>
      <c r="G48" s="3" t="s">
        <v>39</v>
      </c>
      <c r="H48" s="3" t="s">
        <v>46</v>
      </c>
      <c r="I48" s="3" t="s">
        <v>78</v>
      </c>
      <c r="J48" s="3" t="s">
        <v>79</v>
      </c>
      <c r="K48" s="3" t="s">
        <v>33</v>
      </c>
      <c r="L48" s="3" t="s">
        <v>95</v>
      </c>
      <c r="M48" s="3" t="s">
        <v>96</v>
      </c>
      <c r="N48" s="3">
        <v>9</v>
      </c>
      <c r="O48" s="3">
        <v>0</v>
      </c>
      <c r="P48" s="3">
        <v>6001.58</v>
      </c>
      <c r="Q48" s="3">
        <v>-810.67</v>
      </c>
    </row>
    <row r="49" spans="1:17" x14ac:dyDescent="0.3">
      <c r="A49" s="3">
        <v>48</v>
      </c>
      <c r="B49" s="3" t="s">
        <v>195</v>
      </c>
      <c r="C49" s="3" t="s">
        <v>1027</v>
      </c>
      <c r="D49" s="3" t="s">
        <v>1028</v>
      </c>
      <c r="E49" s="3" t="s">
        <v>19</v>
      </c>
      <c r="F49" s="3" t="s">
        <v>196</v>
      </c>
      <c r="G49" s="3" t="s">
        <v>39</v>
      </c>
      <c r="H49" s="3" t="s">
        <v>22</v>
      </c>
      <c r="I49" s="3" t="s">
        <v>68</v>
      </c>
      <c r="J49" s="3" t="s">
        <v>69</v>
      </c>
      <c r="K49" s="3" t="s">
        <v>25</v>
      </c>
      <c r="L49" s="3" t="s">
        <v>106</v>
      </c>
      <c r="M49" s="3" t="s">
        <v>123</v>
      </c>
      <c r="N49" s="3">
        <v>12</v>
      </c>
      <c r="O49" s="3">
        <v>0.15</v>
      </c>
      <c r="P49" s="3">
        <v>745.22</v>
      </c>
      <c r="Q49" s="3">
        <v>-165.95</v>
      </c>
    </row>
    <row r="50" spans="1:17" x14ac:dyDescent="0.3">
      <c r="A50" s="3">
        <v>49</v>
      </c>
      <c r="B50" s="3" t="s">
        <v>197</v>
      </c>
      <c r="C50" s="3" t="s">
        <v>1029</v>
      </c>
      <c r="D50" s="3" t="s">
        <v>1030</v>
      </c>
      <c r="E50" s="3" t="s">
        <v>56</v>
      </c>
      <c r="F50" s="3" t="s">
        <v>198</v>
      </c>
      <c r="G50" s="3" t="s">
        <v>30</v>
      </c>
      <c r="H50" s="3" t="s">
        <v>90</v>
      </c>
      <c r="I50" s="3" t="s">
        <v>169</v>
      </c>
      <c r="J50" s="3" t="s">
        <v>170</v>
      </c>
      <c r="K50" s="3" t="s">
        <v>58</v>
      </c>
      <c r="L50" s="3" t="s">
        <v>199</v>
      </c>
      <c r="M50" s="3" t="s">
        <v>200</v>
      </c>
      <c r="N50" s="3">
        <v>6</v>
      </c>
      <c r="O50" s="3">
        <v>0</v>
      </c>
      <c r="P50" s="3">
        <v>699.91</v>
      </c>
      <c r="Q50" s="3">
        <v>-68.95</v>
      </c>
    </row>
    <row r="51" spans="1:17" x14ac:dyDescent="0.3">
      <c r="A51" s="3">
        <v>50</v>
      </c>
      <c r="B51" s="3" t="s">
        <v>201</v>
      </c>
      <c r="C51" s="3" t="s">
        <v>1031</v>
      </c>
      <c r="D51" s="3" t="s">
        <v>1032</v>
      </c>
      <c r="E51" s="3" t="s">
        <v>19</v>
      </c>
      <c r="F51" s="3" t="s">
        <v>130</v>
      </c>
      <c r="G51" s="3" t="s">
        <v>39</v>
      </c>
      <c r="H51" s="3" t="s">
        <v>22</v>
      </c>
      <c r="I51" s="3" t="s">
        <v>31</v>
      </c>
      <c r="J51" s="3" t="s">
        <v>32</v>
      </c>
      <c r="K51" s="3" t="s">
        <v>25</v>
      </c>
      <c r="L51" s="3" t="s">
        <v>116</v>
      </c>
      <c r="M51" s="3" t="s">
        <v>202</v>
      </c>
      <c r="N51" s="3">
        <v>10</v>
      </c>
      <c r="O51" s="3">
        <v>0</v>
      </c>
      <c r="P51" s="3">
        <v>1139.97</v>
      </c>
      <c r="Q51" s="3">
        <v>394.83</v>
      </c>
    </row>
    <row r="52" spans="1:17" x14ac:dyDescent="0.3">
      <c r="A52" s="3">
        <v>51</v>
      </c>
      <c r="B52" s="3" t="s">
        <v>203</v>
      </c>
      <c r="C52" s="3" t="s">
        <v>1033</v>
      </c>
      <c r="D52" s="3" t="s">
        <v>1034</v>
      </c>
      <c r="E52" s="3" t="s">
        <v>62</v>
      </c>
      <c r="F52" s="3" t="s">
        <v>204</v>
      </c>
      <c r="G52" s="3" t="s">
        <v>39</v>
      </c>
      <c r="H52" s="3" t="s">
        <v>90</v>
      </c>
      <c r="I52" s="3" t="s">
        <v>110</v>
      </c>
      <c r="J52" s="3" t="s">
        <v>111</v>
      </c>
      <c r="K52" s="3" t="s">
        <v>58</v>
      </c>
      <c r="L52" s="3" t="s">
        <v>199</v>
      </c>
      <c r="M52" s="3" t="s">
        <v>205</v>
      </c>
      <c r="N52" s="3">
        <v>10</v>
      </c>
      <c r="O52" s="3">
        <v>0</v>
      </c>
      <c r="P52" s="3">
        <v>3218.83</v>
      </c>
      <c r="Q52" s="3">
        <v>1025.3699999999999</v>
      </c>
    </row>
    <row r="53" spans="1:17" x14ac:dyDescent="0.3">
      <c r="A53" s="3">
        <v>52</v>
      </c>
      <c r="B53" s="3" t="s">
        <v>206</v>
      </c>
      <c r="C53" s="3" t="s">
        <v>1035</v>
      </c>
      <c r="D53" s="3" t="s">
        <v>1036</v>
      </c>
      <c r="E53" s="3" t="s">
        <v>56</v>
      </c>
      <c r="F53" s="3" t="s">
        <v>207</v>
      </c>
      <c r="G53" s="3" t="s">
        <v>39</v>
      </c>
      <c r="H53" s="3" t="s">
        <v>40</v>
      </c>
      <c r="I53" s="3" t="s">
        <v>114</v>
      </c>
      <c r="J53" s="3" t="s">
        <v>115</v>
      </c>
      <c r="K53" s="3" t="s">
        <v>33</v>
      </c>
      <c r="L53" s="3" t="s">
        <v>49</v>
      </c>
      <c r="M53" s="3" t="s">
        <v>208</v>
      </c>
      <c r="N53" s="3">
        <v>8</v>
      </c>
      <c r="O53" s="3">
        <v>0.4</v>
      </c>
      <c r="P53" s="3">
        <v>3451.89</v>
      </c>
      <c r="Q53" s="3">
        <v>-259.74</v>
      </c>
    </row>
    <row r="54" spans="1:17" x14ac:dyDescent="0.3">
      <c r="A54" s="3">
        <v>53</v>
      </c>
      <c r="B54" s="3" t="s">
        <v>209</v>
      </c>
      <c r="C54" s="3" t="s">
        <v>1037</v>
      </c>
      <c r="D54" s="3" t="s">
        <v>1038</v>
      </c>
      <c r="E54" s="3" t="s">
        <v>37</v>
      </c>
      <c r="F54" s="3" t="s">
        <v>210</v>
      </c>
      <c r="G54" s="3" t="s">
        <v>30</v>
      </c>
      <c r="H54" s="3" t="s">
        <v>22</v>
      </c>
      <c r="I54" s="3" t="s">
        <v>68</v>
      </c>
      <c r="J54" s="3" t="s">
        <v>69</v>
      </c>
      <c r="K54" s="3" t="s">
        <v>58</v>
      </c>
      <c r="L54" s="3" t="s">
        <v>86</v>
      </c>
      <c r="M54" s="3" t="s">
        <v>211</v>
      </c>
      <c r="N54" s="3">
        <v>4</v>
      </c>
      <c r="O54" s="3">
        <v>0.15</v>
      </c>
      <c r="P54" s="3">
        <v>1277.3599999999999</v>
      </c>
      <c r="Q54" s="3">
        <v>314.2</v>
      </c>
    </row>
    <row r="55" spans="1:17" x14ac:dyDescent="0.3">
      <c r="A55" s="3">
        <v>54</v>
      </c>
      <c r="B55" s="3" t="s">
        <v>212</v>
      </c>
      <c r="C55" s="3" t="s">
        <v>1039</v>
      </c>
      <c r="D55" s="3" t="s">
        <v>1040</v>
      </c>
      <c r="E55" s="3" t="s">
        <v>37</v>
      </c>
      <c r="F55" s="3" t="s">
        <v>29</v>
      </c>
      <c r="G55" s="3" t="s">
        <v>39</v>
      </c>
      <c r="H55" s="3" t="s">
        <v>90</v>
      </c>
      <c r="I55" s="3" t="s">
        <v>169</v>
      </c>
      <c r="J55" s="3" t="s">
        <v>170</v>
      </c>
      <c r="K55" s="3" t="s">
        <v>25</v>
      </c>
      <c r="L55" s="3" t="s">
        <v>106</v>
      </c>
      <c r="M55" s="3" t="s">
        <v>136</v>
      </c>
      <c r="N55" s="3">
        <v>9</v>
      </c>
      <c r="O55" s="3">
        <v>0.4</v>
      </c>
      <c r="P55" s="3">
        <v>520.49</v>
      </c>
      <c r="Q55" s="3">
        <v>-105</v>
      </c>
    </row>
    <row r="56" spans="1:17" x14ac:dyDescent="0.3">
      <c r="A56" s="3">
        <v>55</v>
      </c>
      <c r="B56" s="3" t="s">
        <v>213</v>
      </c>
      <c r="C56" s="3" t="s">
        <v>1041</v>
      </c>
      <c r="D56" s="3" t="s">
        <v>1042</v>
      </c>
      <c r="E56" s="3" t="s">
        <v>56</v>
      </c>
      <c r="F56" s="3" t="s">
        <v>214</v>
      </c>
      <c r="G56" s="3" t="s">
        <v>39</v>
      </c>
      <c r="H56" s="3" t="s">
        <v>22</v>
      </c>
      <c r="I56" s="3" t="s">
        <v>23</v>
      </c>
      <c r="J56" s="3" t="s">
        <v>24</v>
      </c>
      <c r="K56" s="3" t="s">
        <v>25</v>
      </c>
      <c r="L56" s="3" t="s">
        <v>53</v>
      </c>
      <c r="M56" s="3" t="s">
        <v>171</v>
      </c>
      <c r="N56" s="3">
        <v>13</v>
      </c>
      <c r="O56" s="3">
        <v>0.15</v>
      </c>
      <c r="P56" s="3">
        <v>1009.7</v>
      </c>
      <c r="Q56" s="3">
        <v>96.68</v>
      </c>
    </row>
    <row r="57" spans="1:17" x14ac:dyDescent="0.3">
      <c r="A57" s="3">
        <v>56</v>
      </c>
      <c r="B57" s="3" t="s">
        <v>215</v>
      </c>
      <c r="C57" s="3" t="s">
        <v>1043</v>
      </c>
      <c r="D57" s="3" t="s">
        <v>1044</v>
      </c>
      <c r="E57" s="3" t="s">
        <v>56</v>
      </c>
      <c r="F57" s="3" t="s">
        <v>216</v>
      </c>
      <c r="G57" s="3" t="s">
        <v>39</v>
      </c>
      <c r="H57" s="3" t="s">
        <v>46</v>
      </c>
      <c r="I57" s="3" t="s">
        <v>78</v>
      </c>
      <c r="J57" s="3" t="s">
        <v>79</v>
      </c>
      <c r="K57" s="3" t="s">
        <v>58</v>
      </c>
      <c r="L57" s="3" t="s">
        <v>217</v>
      </c>
      <c r="M57" s="3" t="s">
        <v>218</v>
      </c>
      <c r="N57" s="3">
        <v>6</v>
      </c>
      <c r="O57" s="3">
        <v>0.2</v>
      </c>
      <c r="P57" s="3">
        <v>1251.6500000000001</v>
      </c>
      <c r="Q57" s="3">
        <v>190.35</v>
      </c>
    </row>
    <row r="58" spans="1:17" x14ac:dyDescent="0.3">
      <c r="A58" s="3">
        <v>57</v>
      </c>
      <c r="B58" s="3" t="s">
        <v>219</v>
      </c>
      <c r="C58" s="3" t="s">
        <v>1045</v>
      </c>
      <c r="D58" s="3" t="s">
        <v>1046</v>
      </c>
      <c r="E58" s="3" t="s">
        <v>62</v>
      </c>
      <c r="F58" s="3" t="s">
        <v>157</v>
      </c>
      <c r="G58" s="3" t="s">
        <v>30</v>
      </c>
      <c r="H58" s="3" t="s">
        <v>46</v>
      </c>
      <c r="I58" s="3" t="s">
        <v>146</v>
      </c>
      <c r="J58" s="3" t="s">
        <v>147</v>
      </c>
      <c r="K58" s="3" t="s">
        <v>58</v>
      </c>
      <c r="L58" s="3" t="s">
        <v>59</v>
      </c>
      <c r="M58" s="3" t="s">
        <v>220</v>
      </c>
      <c r="N58" s="3">
        <v>5</v>
      </c>
      <c r="O58" s="3">
        <v>0.3</v>
      </c>
      <c r="P58" s="3">
        <v>827.82</v>
      </c>
      <c r="Q58" s="3">
        <v>222.64</v>
      </c>
    </row>
    <row r="59" spans="1:17" x14ac:dyDescent="0.3">
      <c r="A59" s="3">
        <v>58</v>
      </c>
      <c r="B59" s="3" t="s">
        <v>221</v>
      </c>
      <c r="C59" s="3" t="s">
        <v>1047</v>
      </c>
      <c r="D59" s="3" t="s">
        <v>1048</v>
      </c>
      <c r="E59" s="3" t="s">
        <v>19</v>
      </c>
      <c r="F59" s="3" t="s">
        <v>222</v>
      </c>
      <c r="G59" s="3" t="s">
        <v>21</v>
      </c>
      <c r="H59" s="3" t="s">
        <v>40</v>
      </c>
      <c r="I59" s="3" t="s">
        <v>223</v>
      </c>
      <c r="J59" s="3" t="s">
        <v>224</v>
      </c>
      <c r="K59" s="3" t="s">
        <v>25</v>
      </c>
      <c r="L59" s="3" t="s">
        <v>74</v>
      </c>
      <c r="M59" s="3" t="s">
        <v>101</v>
      </c>
      <c r="N59" s="3">
        <v>1</v>
      </c>
      <c r="O59" s="3">
        <v>0</v>
      </c>
      <c r="P59" s="3">
        <v>26.02</v>
      </c>
      <c r="Q59" s="3">
        <v>7.98</v>
      </c>
    </row>
    <row r="60" spans="1:17" x14ac:dyDescent="0.3">
      <c r="A60" s="3">
        <v>59</v>
      </c>
      <c r="B60" s="3" t="s">
        <v>225</v>
      </c>
      <c r="C60" s="3" t="s">
        <v>1044</v>
      </c>
      <c r="D60" s="3" t="s">
        <v>1049</v>
      </c>
      <c r="E60" s="3" t="s">
        <v>37</v>
      </c>
      <c r="F60" s="3" t="s">
        <v>226</v>
      </c>
      <c r="G60" s="3" t="s">
        <v>39</v>
      </c>
      <c r="H60" s="3" t="s">
        <v>40</v>
      </c>
      <c r="I60" s="3" t="s">
        <v>41</v>
      </c>
      <c r="J60" s="3" t="s">
        <v>42</v>
      </c>
      <c r="K60" s="3" t="s">
        <v>25</v>
      </c>
      <c r="L60" s="3" t="s">
        <v>80</v>
      </c>
      <c r="M60" s="3" t="s">
        <v>150</v>
      </c>
      <c r="N60" s="3">
        <v>14</v>
      </c>
      <c r="O60" s="3">
        <v>0.4</v>
      </c>
      <c r="P60" s="3">
        <v>1351.82</v>
      </c>
      <c r="Q60" s="3">
        <v>430.2</v>
      </c>
    </row>
    <row r="61" spans="1:17" x14ac:dyDescent="0.3">
      <c r="A61" s="3">
        <v>60</v>
      </c>
      <c r="B61" s="3" t="s">
        <v>227</v>
      </c>
      <c r="C61" s="3" t="s">
        <v>1050</v>
      </c>
      <c r="D61" s="3" t="s">
        <v>1051</v>
      </c>
      <c r="E61" s="3" t="s">
        <v>37</v>
      </c>
      <c r="F61" s="3" t="s">
        <v>29</v>
      </c>
      <c r="G61" s="3" t="s">
        <v>39</v>
      </c>
      <c r="H61" s="3" t="s">
        <v>90</v>
      </c>
      <c r="I61" s="3" t="s">
        <v>110</v>
      </c>
      <c r="J61" s="3" t="s">
        <v>111</v>
      </c>
      <c r="K61" s="3" t="s">
        <v>58</v>
      </c>
      <c r="L61" s="3" t="s">
        <v>86</v>
      </c>
      <c r="M61" s="3" t="s">
        <v>211</v>
      </c>
      <c r="N61" s="3">
        <v>7</v>
      </c>
      <c r="O61" s="3">
        <v>0</v>
      </c>
      <c r="P61" s="3">
        <v>837.11</v>
      </c>
      <c r="Q61" s="3">
        <v>224.69</v>
      </c>
    </row>
    <row r="62" spans="1:17" x14ac:dyDescent="0.3">
      <c r="A62" s="3">
        <v>61</v>
      </c>
      <c r="B62" s="3" t="s">
        <v>228</v>
      </c>
      <c r="C62" s="3" t="s">
        <v>1052</v>
      </c>
      <c r="D62" s="3" t="s">
        <v>1053</v>
      </c>
      <c r="E62" s="3" t="s">
        <v>19</v>
      </c>
      <c r="F62" s="3" t="s">
        <v>229</v>
      </c>
      <c r="G62" s="3" t="s">
        <v>21</v>
      </c>
      <c r="H62" s="3" t="s">
        <v>22</v>
      </c>
      <c r="I62" s="3" t="s">
        <v>72</v>
      </c>
      <c r="J62" s="3" t="s">
        <v>73</v>
      </c>
      <c r="K62" s="3" t="s">
        <v>25</v>
      </c>
      <c r="L62" s="3" t="s">
        <v>80</v>
      </c>
      <c r="M62" s="3" t="s">
        <v>150</v>
      </c>
      <c r="N62" s="3">
        <v>9</v>
      </c>
      <c r="O62" s="3">
        <v>0.2</v>
      </c>
      <c r="P62" s="3">
        <v>500.43</v>
      </c>
      <c r="Q62" s="3">
        <v>40.61</v>
      </c>
    </row>
    <row r="63" spans="1:17" x14ac:dyDescent="0.3">
      <c r="A63" s="3">
        <v>62</v>
      </c>
      <c r="B63" s="3" t="s">
        <v>230</v>
      </c>
      <c r="C63" s="3" t="s">
        <v>1054</v>
      </c>
      <c r="D63" s="3" t="s">
        <v>1055</v>
      </c>
      <c r="E63" s="3" t="s">
        <v>37</v>
      </c>
      <c r="F63" s="3" t="s">
        <v>231</v>
      </c>
      <c r="G63" s="3" t="s">
        <v>21</v>
      </c>
      <c r="H63" s="3" t="s">
        <v>90</v>
      </c>
      <c r="I63" s="3" t="s">
        <v>104</v>
      </c>
      <c r="J63" s="3" t="s">
        <v>105</v>
      </c>
      <c r="K63" s="3" t="s">
        <v>58</v>
      </c>
      <c r="L63" s="3" t="s">
        <v>217</v>
      </c>
      <c r="M63" s="3" t="s">
        <v>232</v>
      </c>
      <c r="N63" s="3">
        <v>8</v>
      </c>
      <c r="O63" s="3">
        <v>0.3</v>
      </c>
      <c r="P63" s="3">
        <v>2631.41</v>
      </c>
      <c r="Q63" s="3">
        <v>-48.29</v>
      </c>
    </row>
    <row r="64" spans="1:17" x14ac:dyDescent="0.3">
      <c r="A64" s="3">
        <v>63</v>
      </c>
      <c r="B64" s="3" t="s">
        <v>233</v>
      </c>
      <c r="C64" s="3" t="s">
        <v>1056</v>
      </c>
      <c r="D64" s="3" t="s">
        <v>1057</v>
      </c>
      <c r="E64" s="3" t="s">
        <v>56</v>
      </c>
      <c r="F64" s="3" t="s">
        <v>234</v>
      </c>
      <c r="G64" s="3" t="s">
        <v>39</v>
      </c>
      <c r="H64" s="3" t="s">
        <v>22</v>
      </c>
      <c r="I64" s="3" t="s">
        <v>84</v>
      </c>
      <c r="J64" s="3" t="s">
        <v>85</v>
      </c>
      <c r="K64" s="3" t="s">
        <v>33</v>
      </c>
      <c r="L64" s="3" t="s">
        <v>34</v>
      </c>
      <c r="M64" s="3" t="s">
        <v>43</v>
      </c>
      <c r="N64" s="3">
        <v>14</v>
      </c>
      <c r="O64" s="3">
        <v>0</v>
      </c>
      <c r="P64" s="3">
        <v>6537.68</v>
      </c>
      <c r="Q64" s="3">
        <v>-1340.9</v>
      </c>
    </row>
    <row r="65" spans="1:17" x14ac:dyDescent="0.3">
      <c r="A65" s="3">
        <v>64</v>
      </c>
      <c r="B65" s="3" t="s">
        <v>235</v>
      </c>
      <c r="C65" s="3" t="s">
        <v>1058</v>
      </c>
      <c r="D65" s="3" t="s">
        <v>1059</v>
      </c>
      <c r="E65" s="3" t="s">
        <v>62</v>
      </c>
      <c r="F65" s="3" t="s">
        <v>236</v>
      </c>
      <c r="G65" s="3" t="s">
        <v>39</v>
      </c>
      <c r="H65" s="3" t="s">
        <v>22</v>
      </c>
      <c r="I65" s="3" t="s">
        <v>72</v>
      </c>
      <c r="J65" s="3" t="s">
        <v>73</v>
      </c>
      <c r="K65" s="3" t="s">
        <v>58</v>
      </c>
      <c r="L65" s="3" t="s">
        <v>217</v>
      </c>
      <c r="M65" s="3" t="s">
        <v>218</v>
      </c>
      <c r="N65" s="3">
        <v>13</v>
      </c>
      <c r="O65" s="3">
        <v>0</v>
      </c>
      <c r="P65" s="3">
        <v>3371.36</v>
      </c>
      <c r="Q65" s="3">
        <v>406.17</v>
      </c>
    </row>
    <row r="66" spans="1:17" x14ac:dyDescent="0.3">
      <c r="A66" s="3">
        <v>65</v>
      </c>
      <c r="B66" s="3" t="s">
        <v>237</v>
      </c>
      <c r="C66" s="3" t="s">
        <v>1060</v>
      </c>
      <c r="D66" s="3" t="s">
        <v>1061</v>
      </c>
      <c r="E66" s="3" t="s">
        <v>56</v>
      </c>
      <c r="F66" s="3" t="s">
        <v>132</v>
      </c>
      <c r="G66" s="3" t="s">
        <v>30</v>
      </c>
      <c r="H66" s="3" t="s">
        <v>90</v>
      </c>
      <c r="I66" s="3" t="s">
        <v>169</v>
      </c>
      <c r="J66" s="3" t="s">
        <v>170</v>
      </c>
      <c r="K66" s="3" t="s">
        <v>25</v>
      </c>
      <c r="L66" s="3" t="s">
        <v>53</v>
      </c>
      <c r="M66" s="3" t="s">
        <v>139</v>
      </c>
      <c r="N66" s="3">
        <v>12</v>
      </c>
      <c r="O66" s="3">
        <v>0</v>
      </c>
      <c r="P66" s="3">
        <v>448.04</v>
      </c>
      <c r="Q66" s="3">
        <v>-99.65</v>
      </c>
    </row>
    <row r="67" spans="1:17" x14ac:dyDescent="0.3">
      <c r="A67" s="3">
        <v>66</v>
      </c>
      <c r="B67" s="3" t="s">
        <v>238</v>
      </c>
      <c r="C67" s="3" t="s">
        <v>1062</v>
      </c>
      <c r="D67" s="3" t="s">
        <v>1063</v>
      </c>
      <c r="E67" s="3" t="s">
        <v>19</v>
      </c>
      <c r="F67" s="3" t="s">
        <v>239</v>
      </c>
      <c r="G67" s="3" t="s">
        <v>21</v>
      </c>
      <c r="H67" s="3" t="s">
        <v>40</v>
      </c>
      <c r="I67" s="3" t="s">
        <v>114</v>
      </c>
      <c r="J67" s="3" t="s">
        <v>115</v>
      </c>
      <c r="K67" s="3" t="s">
        <v>25</v>
      </c>
      <c r="L67" s="3" t="s">
        <v>80</v>
      </c>
      <c r="M67" s="3" t="s">
        <v>81</v>
      </c>
      <c r="N67" s="3">
        <v>2</v>
      </c>
      <c r="O67" s="3">
        <v>0.3</v>
      </c>
      <c r="P67" s="3">
        <v>134.53</v>
      </c>
      <c r="Q67" s="3">
        <v>16.39</v>
      </c>
    </row>
    <row r="68" spans="1:17" x14ac:dyDescent="0.3">
      <c r="A68" s="3">
        <v>67</v>
      </c>
      <c r="B68" s="3" t="s">
        <v>240</v>
      </c>
      <c r="C68" s="3" t="s">
        <v>993</v>
      </c>
      <c r="D68" s="3" t="s">
        <v>1064</v>
      </c>
      <c r="E68" s="3" t="s">
        <v>56</v>
      </c>
      <c r="F68" s="3" t="s">
        <v>241</v>
      </c>
      <c r="G68" s="3" t="s">
        <v>39</v>
      </c>
      <c r="H68" s="3" t="s">
        <v>90</v>
      </c>
      <c r="I68" s="3" t="s">
        <v>99</v>
      </c>
      <c r="J68" s="3" t="s">
        <v>100</v>
      </c>
      <c r="K68" s="3" t="s">
        <v>25</v>
      </c>
      <c r="L68" s="3" t="s">
        <v>53</v>
      </c>
      <c r="M68" s="3" t="s">
        <v>139</v>
      </c>
      <c r="N68" s="3">
        <v>11</v>
      </c>
      <c r="O68" s="3">
        <v>0</v>
      </c>
      <c r="P68" s="3">
        <v>731.48</v>
      </c>
      <c r="Q68" s="3">
        <v>11</v>
      </c>
    </row>
    <row r="69" spans="1:17" x14ac:dyDescent="0.3">
      <c r="A69" s="3">
        <v>68</v>
      </c>
      <c r="B69" s="3" t="s">
        <v>242</v>
      </c>
      <c r="C69" s="3" t="s">
        <v>1065</v>
      </c>
      <c r="D69" s="3" t="s">
        <v>1066</v>
      </c>
      <c r="E69" s="3" t="s">
        <v>62</v>
      </c>
      <c r="F69" s="3" t="s">
        <v>243</v>
      </c>
      <c r="G69" s="3" t="s">
        <v>30</v>
      </c>
      <c r="H69" s="3" t="s">
        <v>46</v>
      </c>
      <c r="I69" s="3" t="s">
        <v>146</v>
      </c>
      <c r="J69" s="3" t="s">
        <v>147</v>
      </c>
      <c r="K69" s="3" t="s">
        <v>58</v>
      </c>
      <c r="L69" s="3" t="s">
        <v>86</v>
      </c>
      <c r="M69" s="3" t="s">
        <v>211</v>
      </c>
      <c r="N69" s="3">
        <v>4</v>
      </c>
      <c r="O69" s="3">
        <v>0.2</v>
      </c>
      <c r="P69" s="3">
        <v>786.75</v>
      </c>
      <c r="Q69" s="3">
        <v>74.650000000000006</v>
      </c>
    </row>
    <row r="70" spans="1:17" x14ac:dyDescent="0.3">
      <c r="A70" s="3">
        <v>69</v>
      </c>
      <c r="B70" s="3" t="s">
        <v>244</v>
      </c>
      <c r="C70" s="3" t="s">
        <v>1067</v>
      </c>
      <c r="D70" s="3" t="s">
        <v>1068</v>
      </c>
      <c r="E70" s="3" t="s">
        <v>56</v>
      </c>
      <c r="F70" s="3" t="s">
        <v>245</v>
      </c>
      <c r="G70" s="3" t="s">
        <v>30</v>
      </c>
      <c r="H70" s="3" t="s">
        <v>22</v>
      </c>
      <c r="I70" s="3" t="s">
        <v>31</v>
      </c>
      <c r="J70" s="3" t="s">
        <v>32</v>
      </c>
      <c r="K70" s="3" t="s">
        <v>25</v>
      </c>
      <c r="L70" s="3" t="s">
        <v>106</v>
      </c>
      <c r="M70" s="3" t="s">
        <v>123</v>
      </c>
      <c r="N70" s="3">
        <v>6</v>
      </c>
      <c r="O70" s="3">
        <v>0.1</v>
      </c>
      <c r="P70" s="3">
        <v>162.04</v>
      </c>
      <c r="Q70" s="3">
        <v>19.86</v>
      </c>
    </row>
    <row r="71" spans="1:17" x14ac:dyDescent="0.3">
      <c r="A71" s="3">
        <v>70</v>
      </c>
      <c r="B71" s="3" t="s">
        <v>246</v>
      </c>
      <c r="C71" s="3" t="s">
        <v>1069</v>
      </c>
      <c r="D71" s="3" t="s">
        <v>1070</v>
      </c>
      <c r="E71" s="3" t="s">
        <v>19</v>
      </c>
      <c r="F71" s="3" t="s">
        <v>247</v>
      </c>
      <c r="G71" s="3" t="s">
        <v>30</v>
      </c>
      <c r="H71" s="3" t="s">
        <v>22</v>
      </c>
      <c r="I71" s="3" t="s">
        <v>31</v>
      </c>
      <c r="J71" s="3" t="s">
        <v>32</v>
      </c>
      <c r="K71" s="3" t="s">
        <v>25</v>
      </c>
      <c r="L71" s="3" t="s">
        <v>26</v>
      </c>
      <c r="M71" s="3" t="s">
        <v>27</v>
      </c>
      <c r="N71" s="3">
        <v>12</v>
      </c>
      <c r="O71" s="3">
        <v>0.1</v>
      </c>
      <c r="P71" s="3">
        <v>593.98</v>
      </c>
      <c r="Q71" s="3">
        <v>-101.39</v>
      </c>
    </row>
    <row r="72" spans="1:17" x14ac:dyDescent="0.3">
      <c r="A72" s="3">
        <v>71</v>
      </c>
      <c r="B72" s="3" t="s">
        <v>248</v>
      </c>
      <c r="C72" s="3" t="s">
        <v>1071</v>
      </c>
      <c r="D72" s="3" t="s">
        <v>1072</v>
      </c>
      <c r="E72" s="3" t="s">
        <v>62</v>
      </c>
      <c r="F72" s="3" t="s">
        <v>145</v>
      </c>
      <c r="G72" s="3" t="s">
        <v>30</v>
      </c>
      <c r="H72" s="3" t="s">
        <v>46</v>
      </c>
      <c r="I72" s="3" t="s">
        <v>146</v>
      </c>
      <c r="J72" s="3" t="s">
        <v>147</v>
      </c>
      <c r="K72" s="3" t="s">
        <v>58</v>
      </c>
      <c r="L72" s="3" t="s">
        <v>199</v>
      </c>
      <c r="M72" s="3" t="s">
        <v>205</v>
      </c>
      <c r="N72" s="3">
        <v>2</v>
      </c>
      <c r="O72" s="3">
        <v>0</v>
      </c>
      <c r="P72" s="3">
        <v>500.23</v>
      </c>
      <c r="Q72" s="3">
        <v>-82.81</v>
      </c>
    </row>
    <row r="73" spans="1:17" x14ac:dyDescent="0.3">
      <c r="A73" s="3">
        <v>72</v>
      </c>
      <c r="B73" s="3" t="s">
        <v>249</v>
      </c>
      <c r="C73" s="3" t="s">
        <v>1073</v>
      </c>
      <c r="D73" s="3" t="s">
        <v>1074</v>
      </c>
      <c r="E73" s="3" t="s">
        <v>62</v>
      </c>
      <c r="F73" s="3" t="s">
        <v>98</v>
      </c>
      <c r="G73" s="3" t="s">
        <v>30</v>
      </c>
      <c r="H73" s="3" t="s">
        <v>90</v>
      </c>
      <c r="I73" s="3" t="s">
        <v>169</v>
      </c>
      <c r="J73" s="3" t="s">
        <v>170</v>
      </c>
      <c r="K73" s="3" t="s">
        <v>25</v>
      </c>
      <c r="L73" s="3" t="s">
        <v>116</v>
      </c>
      <c r="M73" s="3" t="s">
        <v>166</v>
      </c>
      <c r="N73" s="3">
        <v>12</v>
      </c>
      <c r="O73" s="3">
        <v>0.3</v>
      </c>
      <c r="P73" s="3">
        <v>888.19</v>
      </c>
      <c r="Q73" s="3">
        <v>216.23</v>
      </c>
    </row>
    <row r="74" spans="1:17" x14ac:dyDescent="0.3">
      <c r="A74" s="3">
        <v>73</v>
      </c>
      <c r="B74" s="3" t="s">
        <v>250</v>
      </c>
      <c r="C74" s="3" t="s">
        <v>1075</v>
      </c>
      <c r="D74" s="3" t="s">
        <v>994</v>
      </c>
      <c r="E74" s="3" t="s">
        <v>62</v>
      </c>
      <c r="F74" s="3" t="s">
        <v>251</v>
      </c>
      <c r="G74" s="3" t="s">
        <v>21</v>
      </c>
      <c r="H74" s="3" t="s">
        <v>46</v>
      </c>
      <c r="I74" s="3" t="s">
        <v>47</v>
      </c>
      <c r="J74" s="3" t="s">
        <v>48</v>
      </c>
      <c r="K74" s="3" t="s">
        <v>25</v>
      </c>
      <c r="L74" s="3" t="s">
        <v>116</v>
      </c>
      <c r="M74" s="3" t="s">
        <v>117</v>
      </c>
      <c r="N74" s="3">
        <v>5</v>
      </c>
      <c r="O74" s="3">
        <v>0</v>
      </c>
      <c r="P74" s="3">
        <v>393.05</v>
      </c>
      <c r="Q74" s="3">
        <v>-65.3</v>
      </c>
    </row>
    <row r="75" spans="1:17" x14ac:dyDescent="0.3">
      <c r="A75" s="3">
        <v>74</v>
      </c>
      <c r="B75" s="3" t="s">
        <v>252</v>
      </c>
      <c r="C75" s="3" t="s">
        <v>1076</v>
      </c>
      <c r="D75" s="3" t="s">
        <v>1077</v>
      </c>
      <c r="E75" s="3" t="s">
        <v>56</v>
      </c>
      <c r="F75" s="3" t="s">
        <v>253</v>
      </c>
      <c r="G75" s="3" t="s">
        <v>30</v>
      </c>
      <c r="H75" s="3" t="s">
        <v>40</v>
      </c>
      <c r="I75" s="3" t="s">
        <v>223</v>
      </c>
      <c r="J75" s="3" t="s">
        <v>224</v>
      </c>
      <c r="K75" s="3" t="s">
        <v>33</v>
      </c>
      <c r="L75" s="3" t="s">
        <v>34</v>
      </c>
      <c r="M75" s="3" t="s">
        <v>254</v>
      </c>
      <c r="N75" s="3">
        <v>12</v>
      </c>
      <c r="O75" s="3">
        <v>0.3</v>
      </c>
      <c r="P75" s="3">
        <v>7245.77</v>
      </c>
      <c r="Q75" s="3">
        <v>742</v>
      </c>
    </row>
    <row r="76" spans="1:17" x14ac:dyDescent="0.3">
      <c r="A76" s="3">
        <v>75</v>
      </c>
      <c r="B76" s="3" t="s">
        <v>255</v>
      </c>
      <c r="C76" s="3" t="s">
        <v>1061</v>
      </c>
      <c r="D76" s="3" t="s">
        <v>1048</v>
      </c>
      <c r="E76" s="3" t="s">
        <v>19</v>
      </c>
      <c r="F76" s="3" t="s">
        <v>256</v>
      </c>
      <c r="G76" s="3" t="s">
        <v>30</v>
      </c>
      <c r="H76" s="3" t="s">
        <v>46</v>
      </c>
      <c r="I76" s="3" t="s">
        <v>257</v>
      </c>
      <c r="J76" s="3" t="s">
        <v>258</v>
      </c>
      <c r="K76" s="3" t="s">
        <v>25</v>
      </c>
      <c r="L76" s="3" t="s">
        <v>26</v>
      </c>
      <c r="M76" s="3" t="s">
        <v>259</v>
      </c>
      <c r="N76" s="3">
        <v>14</v>
      </c>
      <c r="O76" s="3">
        <v>0.2</v>
      </c>
      <c r="P76" s="3">
        <v>589.53</v>
      </c>
      <c r="Q76" s="3">
        <v>45.2</v>
      </c>
    </row>
    <row r="77" spans="1:17" x14ac:dyDescent="0.3">
      <c r="A77" s="3">
        <v>76</v>
      </c>
      <c r="B77" s="3" t="s">
        <v>260</v>
      </c>
      <c r="C77" s="3" t="s">
        <v>1078</v>
      </c>
      <c r="D77" s="3" t="s">
        <v>959</v>
      </c>
      <c r="E77" s="3" t="s">
        <v>19</v>
      </c>
      <c r="F77" s="3" t="s">
        <v>261</v>
      </c>
      <c r="G77" s="3" t="s">
        <v>21</v>
      </c>
      <c r="H77" s="3" t="s">
        <v>22</v>
      </c>
      <c r="I77" s="3" t="s">
        <v>84</v>
      </c>
      <c r="J77" s="3" t="s">
        <v>85</v>
      </c>
      <c r="K77" s="3" t="s">
        <v>33</v>
      </c>
      <c r="L77" s="3" t="s">
        <v>95</v>
      </c>
      <c r="M77" s="3" t="s">
        <v>262</v>
      </c>
      <c r="N77" s="3">
        <v>6</v>
      </c>
      <c r="O77" s="3">
        <v>0</v>
      </c>
      <c r="P77" s="3">
        <v>1136.45</v>
      </c>
      <c r="Q77" s="3">
        <v>252.5</v>
      </c>
    </row>
    <row r="78" spans="1:17" x14ac:dyDescent="0.3">
      <c r="A78" s="3">
        <v>77</v>
      </c>
      <c r="B78" s="3" t="s">
        <v>263</v>
      </c>
      <c r="C78" s="3" t="s">
        <v>1079</v>
      </c>
      <c r="D78" s="3" t="s">
        <v>1080</v>
      </c>
      <c r="E78" s="3" t="s">
        <v>19</v>
      </c>
      <c r="F78" s="3" t="s">
        <v>264</v>
      </c>
      <c r="G78" s="3" t="s">
        <v>30</v>
      </c>
      <c r="H78" s="3" t="s">
        <v>40</v>
      </c>
      <c r="I78" s="3" t="s">
        <v>41</v>
      </c>
      <c r="J78" s="3" t="s">
        <v>42</v>
      </c>
      <c r="K78" s="3" t="s">
        <v>58</v>
      </c>
      <c r="L78" s="3" t="s">
        <v>59</v>
      </c>
      <c r="M78" s="3" t="s">
        <v>220</v>
      </c>
      <c r="N78" s="3">
        <v>9</v>
      </c>
      <c r="O78" s="3">
        <v>0</v>
      </c>
      <c r="P78" s="3">
        <v>1330.27</v>
      </c>
      <c r="Q78" s="3">
        <v>-244.83</v>
      </c>
    </row>
    <row r="79" spans="1:17" x14ac:dyDescent="0.3">
      <c r="A79" s="3">
        <v>78</v>
      </c>
      <c r="B79" s="3" t="s">
        <v>265</v>
      </c>
      <c r="C79" s="3" t="s">
        <v>1081</v>
      </c>
      <c r="D79" s="3" t="s">
        <v>1082</v>
      </c>
      <c r="E79" s="3" t="s">
        <v>56</v>
      </c>
      <c r="F79" s="3" t="s">
        <v>266</v>
      </c>
      <c r="G79" s="3" t="s">
        <v>21</v>
      </c>
      <c r="H79" s="3" t="s">
        <v>46</v>
      </c>
      <c r="I79" s="3" t="s">
        <v>257</v>
      </c>
      <c r="J79" s="3" t="s">
        <v>258</v>
      </c>
      <c r="K79" s="3" t="s">
        <v>33</v>
      </c>
      <c r="L79" s="3" t="s">
        <v>49</v>
      </c>
      <c r="M79" s="3" t="s">
        <v>208</v>
      </c>
      <c r="N79" s="3">
        <v>2</v>
      </c>
      <c r="O79" s="3">
        <v>0.4</v>
      </c>
      <c r="P79" s="3">
        <v>929.85</v>
      </c>
      <c r="Q79" s="3">
        <v>17.63</v>
      </c>
    </row>
    <row r="80" spans="1:17" x14ac:dyDescent="0.3">
      <c r="A80" s="3">
        <v>79</v>
      </c>
      <c r="B80" s="3" t="s">
        <v>267</v>
      </c>
      <c r="C80" s="3" t="s">
        <v>1083</v>
      </c>
      <c r="D80" s="3" t="s">
        <v>1084</v>
      </c>
      <c r="E80" s="3" t="s">
        <v>62</v>
      </c>
      <c r="F80" s="3" t="s">
        <v>268</v>
      </c>
      <c r="G80" s="3" t="s">
        <v>21</v>
      </c>
      <c r="H80" s="3" t="s">
        <v>40</v>
      </c>
      <c r="I80" s="3" t="s">
        <v>223</v>
      </c>
      <c r="J80" s="3" t="s">
        <v>224</v>
      </c>
      <c r="K80" s="3" t="s">
        <v>33</v>
      </c>
      <c r="L80" s="3" t="s">
        <v>64</v>
      </c>
      <c r="M80" s="3" t="s">
        <v>269</v>
      </c>
      <c r="N80" s="3">
        <v>1</v>
      </c>
      <c r="O80" s="3">
        <v>0.3</v>
      </c>
      <c r="P80" s="3">
        <v>636.13</v>
      </c>
      <c r="Q80" s="3">
        <v>3.67</v>
      </c>
    </row>
    <row r="81" spans="1:17" x14ac:dyDescent="0.3">
      <c r="A81" s="3">
        <v>80</v>
      </c>
      <c r="B81" s="3" t="s">
        <v>270</v>
      </c>
      <c r="C81" s="3" t="s">
        <v>1085</v>
      </c>
      <c r="D81" s="3" t="s">
        <v>1086</v>
      </c>
      <c r="E81" s="3" t="s">
        <v>56</v>
      </c>
      <c r="F81" s="3" t="s">
        <v>271</v>
      </c>
      <c r="G81" s="3" t="s">
        <v>39</v>
      </c>
      <c r="H81" s="3" t="s">
        <v>46</v>
      </c>
      <c r="I81" s="3" t="s">
        <v>47</v>
      </c>
      <c r="J81" s="3" t="s">
        <v>48</v>
      </c>
      <c r="K81" s="3" t="s">
        <v>33</v>
      </c>
      <c r="L81" s="3" t="s">
        <v>95</v>
      </c>
      <c r="M81" s="3" t="s">
        <v>96</v>
      </c>
      <c r="N81" s="3">
        <v>10</v>
      </c>
      <c r="O81" s="3">
        <v>0.2</v>
      </c>
      <c r="P81" s="3">
        <v>3714.32</v>
      </c>
      <c r="Q81" s="3">
        <v>-79.7</v>
      </c>
    </row>
    <row r="82" spans="1:17" x14ac:dyDescent="0.3">
      <c r="A82" s="3">
        <v>81</v>
      </c>
      <c r="B82" s="3" t="s">
        <v>272</v>
      </c>
      <c r="C82" s="3" t="s">
        <v>936</v>
      </c>
      <c r="D82" s="3" t="s">
        <v>1087</v>
      </c>
      <c r="E82" s="3" t="s">
        <v>37</v>
      </c>
      <c r="F82" s="3" t="s">
        <v>216</v>
      </c>
      <c r="G82" s="3" t="s">
        <v>30</v>
      </c>
      <c r="H82" s="3" t="s">
        <v>22</v>
      </c>
      <c r="I82" s="3" t="s">
        <v>23</v>
      </c>
      <c r="J82" s="3" t="s">
        <v>24</v>
      </c>
      <c r="K82" s="3" t="s">
        <v>58</v>
      </c>
      <c r="L82" s="3" t="s">
        <v>86</v>
      </c>
      <c r="M82" s="3" t="s">
        <v>211</v>
      </c>
      <c r="N82" s="3">
        <v>7</v>
      </c>
      <c r="O82" s="3">
        <v>0.4</v>
      </c>
      <c r="P82" s="3">
        <v>1166.07</v>
      </c>
      <c r="Q82" s="3">
        <v>-12.55</v>
      </c>
    </row>
    <row r="83" spans="1:17" x14ac:dyDescent="0.3">
      <c r="A83" s="3">
        <v>82</v>
      </c>
      <c r="B83" s="3" t="s">
        <v>273</v>
      </c>
      <c r="C83" s="3" t="s">
        <v>1043</v>
      </c>
      <c r="D83" s="3" t="s">
        <v>1088</v>
      </c>
      <c r="E83" s="3" t="s">
        <v>37</v>
      </c>
      <c r="F83" s="3" t="s">
        <v>274</v>
      </c>
      <c r="G83" s="3" t="s">
        <v>21</v>
      </c>
      <c r="H83" s="3" t="s">
        <v>46</v>
      </c>
      <c r="I83" s="3" t="s">
        <v>78</v>
      </c>
      <c r="J83" s="3" t="s">
        <v>79</v>
      </c>
      <c r="K83" s="3" t="s">
        <v>25</v>
      </c>
      <c r="L83" s="3" t="s">
        <v>74</v>
      </c>
      <c r="M83" s="3" t="s">
        <v>75</v>
      </c>
      <c r="N83" s="3">
        <v>2</v>
      </c>
      <c r="O83" s="3">
        <v>0</v>
      </c>
      <c r="P83" s="3">
        <v>26</v>
      </c>
      <c r="Q83" s="3">
        <v>5.12</v>
      </c>
    </row>
    <row r="84" spans="1:17" x14ac:dyDescent="0.3">
      <c r="A84" s="3">
        <v>83</v>
      </c>
      <c r="B84" s="3" t="s">
        <v>275</v>
      </c>
      <c r="C84" s="3" t="s">
        <v>1010</v>
      </c>
      <c r="D84" s="3" t="s">
        <v>1089</v>
      </c>
      <c r="E84" s="3" t="s">
        <v>62</v>
      </c>
      <c r="F84" s="3" t="s">
        <v>276</v>
      </c>
      <c r="G84" s="3" t="s">
        <v>21</v>
      </c>
      <c r="H84" s="3" t="s">
        <v>22</v>
      </c>
      <c r="I84" s="3" t="s">
        <v>84</v>
      </c>
      <c r="J84" s="3" t="s">
        <v>85</v>
      </c>
      <c r="K84" s="3" t="s">
        <v>25</v>
      </c>
      <c r="L84" s="3" t="s">
        <v>53</v>
      </c>
      <c r="M84" s="3" t="s">
        <v>54</v>
      </c>
      <c r="N84" s="3">
        <v>10</v>
      </c>
      <c r="O84" s="3">
        <v>0</v>
      </c>
      <c r="P84" s="3">
        <v>388.69</v>
      </c>
      <c r="Q84" s="3">
        <v>37.61</v>
      </c>
    </row>
    <row r="85" spans="1:17" x14ac:dyDescent="0.3">
      <c r="A85" s="3">
        <v>84</v>
      </c>
      <c r="B85" s="3" t="s">
        <v>277</v>
      </c>
      <c r="C85" s="3" t="s">
        <v>1090</v>
      </c>
      <c r="D85" s="3" t="s">
        <v>1091</v>
      </c>
      <c r="E85" s="3" t="s">
        <v>37</v>
      </c>
      <c r="F85" s="3" t="s">
        <v>278</v>
      </c>
      <c r="G85" s="3" t="s">
        <v>30</v>
      </c>
      <c r="H85" s="3" t="s">
        <v>46</v>
      </c>
      <c r="I85" s="3" t="s">
        <v>47</v>
      </c>
      <c r="J85" s="3" t="s">
        <v>48</v>
      </c>
      <c r="K85" s="3" t="s">
        <v>25</v>
      </c>
      <c r="L85" s="3" t="s">
        <v>106</v>
      </c>
      <c r="M85" s="3" t="s">
        <v>136</v>
      </c>
      <c r="N85" s="3">
        <v>7</v>
      </c>
      <c r="O85" s="3">
        <v>0</v>
      </c>
      <c r="P85" s="3">
        <v>712.1</v>
      </c>
      <c r="Q85" s="3">
        <v>82.17</v>
      </c>
    </row>
    <row r="86" spans="1:17" x14ac:dyDescent="0.3">
      <c r="A86" s="3">
        <v>85</v>
      </c>
      <c r="B86" s="3" t="s">
        <v>279</v>
      </c>
      <c r="C86" s="3" t="s">
        <v>1092</v>
      </c>
      <c r="D86" s="3" t="s">
        <v>1093</v>
      </c>
      <c r="E86" s="3" t="s">
        <v>37</v>
      </c>
      <c r="F86" s="3" t="s">
        <v>280</v>
      </c>
      <c r="G86" s="3" t="s">
        <v>30</v>
      </c>
      <c r="H86" s="3" t="s">
        <v>46</v>
      </c>
      <c r="I86" s="3" t="s">
        <v>281</v>
      </c>
      <c r="J86" s="3" t="s">
        <v>282</v>
      </c>
      <c r="K86" s="3" t="s">
        <v>33</v>
      </c>
      <c r="L86" s="3" t="s">
        <v>95</v>
      </c>
      <c r="M86" s="3" t="s">
        <v>120</v>
      </c>
      <c r="N86" s="3">
        <v>12</v>
      </c>
      <c r="O86" s="3">
        <v>0</v>
      </c>
      <c r="P86" s="3">
        <v>5428.69</v>
      </c>
      <c r="Q86" s="3">
        <v>-1058.3</v>
      </c>
    </row>
    <row r="87" spans="1:17" x14ac:dyDescent="0.3">
      <c r="A87" s="3">
        <v>86</v>
      </c>
      <c r="B87" s="3" t="s">
        <v>283</v>
      </c>
      <c r="C87" s="3" t="s">
        <v>947</v>
      </c>
      <c r="D87" s="3" t="s">
        <v>948</v>
      </c>
      <c r="E87" s="3" t="s">
        <v>56</v>
      </c>
      <c r="F87" s="3" t="s">
        <v>152</v>
      </c>
      <c r="G87" s="3" t="s">
        <v>30</v>
      </c>
      <c r="H87" s="3" t="s">
        <v>40</v>
      </c>
      <c r="I87" s="3" t="s">
        <v>41</v>
      </c>
      <c r="J87" s="3" t="s">
        <v>42</v>
      </c>
      <c r="K87" s="3" t="s">
        <v>25</v>
      </c>
      <c r="L87" s="3" t="s">
        <v>106</v>
      </c>
      <c r="M87" s="3" t="s">
        <v>136</v>
      </c>
      <c r="N87" s="3">
        <v>1</v>
      </c>
      <c r="O87" s="3">
        <v>0</v>
      </c>
      <c r="P87" s="3">
        <v>20.36</v>
      </c>
      <c r="Q87" s="3">
        <v>3.14</v>
      </c>
    </row>
    <row r="88" spans="1:17" x14ac:dyDescent="0.3">
      <c r="A88" s="3">
        <v>87</v>
      </c>
      <c r="B88" s="3" t="s">
        <v>284</v>
      </c>
      <c r="C88" s="3" t="s">
        <v>1094</v>
      </c>
      <c r="D88" s="3" t="s">
        <v>1034</v>
      </c>
      <c r="E88" s="3" t="s">
        <v>62</v>
      </c>
      <c r="F88" s="3" t="s">
        <v>285</v>
      </c>
      <c r="G88" s="3" t="s">
        <v>30</v>
      </c>
      <c r="H88" s="3" t="s">
        <v>90</v>
      </c>
      <c r="I88" s="3" t="s">
        <v>99</v>
      </c>
      <c r="J88" s="3" t="s">
        <v>100</v>
      </c>
      <c r="K88" s="3" t="s">
        <v>33</v>
      </c>
      <c r="L88" s="3" t="s">
        <v>49</v>
      </c>
      <c r="M88" s="3" t="s">
        <v>286</v>
      </c>
      <c r="N88" s="3">
        <v>5</v>
      </c>
      <c r="O88" s="3">
        <v>0.4</v>
      </c>
      <c r="P88" s="3">
        <v>2124.31</v>
      </c>
      <c r="Q88" s="3">
        <v>140.55000000000001</v>
      </c>
    </row>
    <row r="89" spans="1:17" x14ac:dyDescent="0.3">
      <c r="A89" s="3">
        <v>88</v>
      </c>
      <c r="B89" s="3" t="s">
        <v>287</v>
      </c>
      <c r="C89" s="3" t="s">
        <v>1095</v>
      </c>
      <c r="D89" s="3" t="s">
        <v>1096</v>
      </c>
      <c r="E89" s="3" t="s">
        <v>19</v>
      </c>
      <c r="F89" s="3" t="s">
        <v>288</v>
      </c>
      <c r="G89" s="3" t="s">
        <v>39</v>
      </c>
      <c r="H89" s="3" t="s">
        <v>22</v>
      </c>
      <c r="I89" s="3" t="s">
        <v>68</v>
      </c>
      <c r="J89" s="3" t="s">
        <v>69</v>
      </c>
      <c r="K89" s="3" t="s">
        <v>25</v>
      </c>
      <c r="L89" s="3" t="s">
        <v>26</v>
      </c>
      <c r="M89" s="3" t="s">
        <v>27</v>
      </c>
      <c r="N89" s="3">
        <v>6</v>
      </c>
      <c r="O89" s="3">
        <v>0.4</v>
      </c>
      <c r="P89" s="3">
        <v>85.32</v>
      </c>
      <c r="Q89" s="3">
        <v>16.91</v>
      </c>
    </row>
    <row r="90" spans="1:17" x14ac:dyDescent="0.3">
      <c r="A90" s="3">
        <v>89</v>
      </c>
      <c r="B90" s="3" t="s">
        <v>289</v>
      </c>
      <c r="C90" s="3" t="s">
        <v>1097</v>
      </c>
      <c r="D90" s="3" t="s">
        <v>1098</v>
      </c>
      <c r="E90" s="3" t="s">
        <v>56</v>
      </c>
      <c r="F90" s="3" t="s">
        <v>290</v>
      </c>
      <c r="G90" s="3" t="s">
        <v>21</v>
      </c>
      <c r="H90" s="3" t="s">
        <v>46</v>
      </c>
      <c r="I90" s="3" t="s">
        <v>257</v>
      </c>
      <c r="J90" s="3" t="s">
        <v>258</v>
      </c>
      <c r="K90" s="3" t="s">
        <v>25</v>
      </c>
      <c r="L90" s="3" t="s">
        <v>53</v>
      </c>
      <c r="M90" s="3" t="s">
        <v>139</v>
      </c>
      <c r="N90" s="3">
        <v>8</v>
      </c>
      <c r="O90" s="3">
        <v>0.2</v>
      </c>
      <c r="P90" s="3">
        <v>832.44</v>
      </c>
      <c r="Q90" s="3">
        <v>79.459999999999994</v>
      </c>
    </row>
    <row r="91" spans="1:17" x14ac:dyDescent="0.3">
      <c r="A91" s="3">
        <v>90</v>
      </c>
      <c r="B91" s="3" t="s">
        <v>291</v>
      </c>
      <c r="C91" s="3" t="s">
        <v>1045</v>
      </c>
      <c r="D91" s="3" t="s">
        <v>1099</v>
      </c>
      <c r="E91" s="3" t="s">
        <v>37</v>
      </c>
      <c r="F91" s="3" t="s">
        <v>292</v>
      </c>
      <c r="G91" s="3" t="s">
        <v>39</v>
      </c>
      <c r="H91" s="3" t="s">
        <v>22</v>
      </c>
      <c r="I91" s="3" t="s">
        <v>72</v>
      </c>
      <c r="J91" s="3" t="s">
        <v>73</v>
      </c>
      <c r="K91" s="3" t="s">
        <v>33</v>
      </c>
      <c r="L91" s="3" t="s">
        <v>34</v>
      </c>
      <c r="M91" s="3" t="s">
        <v>254</v>
      </c>
      <c r="N91" s="3">
        <v>14</v>
      </c>
      <c r="O91" s="3">
        <v>0.3</v>
      </c>
      <c r="P91" s="3">
        <v>1228.8699999999999</v>
      </c>
      <c r="Q91" s="3">
        <v>126.97</v>
      </c>
    </row>
    <row r="92" spans="1:17" x14ac:dyDescent="0.3">
      <c r="A92" s="3">
        <v>91</v>
      </c>
      <c r="B92" s="3" t="s">
        <v>293</v>
      </c>
      <c r="C92" s="3" t="s">
        <v>1100</v>
      </c>
      <c r="D92" s="3" t="s">
        <v>1101</v>
      </c>
      <c r="E92" s="3" t="s">
        <v>37</v>
      </c>
      <c r="F92" s="3" t="s">
        <v>294</v>
      </c>
      <c r="G92" s="3" t="s">
        <v>21</v>
      </c>
      <c r="H92" s="3" t="s">
        <v>40</v>
      </c>
      <c r="I92" s="3" t="s">
        <v>41</v>
      </c>
      <c r="J92" s="3" t="s">
        <v>42</v>
      </c>
      <c r="K92" s="3" t="s">
        <v>58</v>
      </c>
      <c r="L92" s="3" t="s">
        <v>59</v>
      </c>
      <c r="M92" s="3" t="s">
        <v>295</v>
      </c>
      <c r="N92" s="3">
        <v>9</v>
      </c>
      <c r="O92" s="3">
        <v>0.2</v>
      </c>
      <c r="P92" s="3">
        <v>2281.4699999999998</v>
      </c>
      <c r="Q92" s="3">
        <v>-89.75</v>
      </c>
    </row>
    <row r="93" spans="1:17" x14ac:dyDescent="0.3">
      <c r="A93" s="3">
        <v>92</v>
      </c>
      <c r="B93" s="3" t="s">
        <v>296</v>
      </c>
      <c r="C93" s="3" t="s">
        <v>1102</v>
      </c>
      <c r="D93" s="3" t="s">
        <v>1103</v>
      </c>
      <c r="E93" s="3" t="s">
        <v>62</v>
      </c>
      <c r="F93" s="3" t="s">
        <v>297</v>
      </c>
      <c r="G93" s="3" t="s">
        <v>30</v>
      </c>
      <c r="H93" s="3" t="s">
        <v>40</v>
      </c>
      <c r="I93" s="3" t="s">
        <v>114</v>
      </c>
      <c r="J93" s="3" t="s">
        <v>115</v>
      </c>
      <c r="K93" s="3" t="s">
        <v>25</v>
      </c>
      <c r="L93" s="3" t="s">
        <v>53</v>
      </c>
      <c r="M93" s="3" t="s">
        <v>139</v>
      </c>
      <c r="N93" s="3">
        <v>11</v>
      </c>
      <c r="O93" s="3">
        <v>0.4</v>
      </c>
      <c r="P93" s="3">
        <v>583.76</v>
      </c>
      <c r="Q93" s="3">
        <v>92.63</v>
      </c>
    </row>
    <row r="94" spans="1:17" x14ac:dyDescent="0.3">
      <c r="A94" s="3">
        <v>93</v>
      </c>
      <c r="B94" s="3" t="s">
        <v>298</v>
      </c>
      <c r="C94" s="3" t="s">
        <v>1104</v>
      </c>
      <c r="D94" s="3" t="s">
        <v>1105</v>
      </c>
      <c r="E94" s="3" t="s">
        <v>62</v>
      </c>
      <c r="F94" s="3" t="s">
        <v>138</v>
      </c>
      <c r="G94" s="3" t="s">
        <v>21</v>
      </c>
      <c r="H94" s="3" t="s">
        <v>90</v>
      </c>
      <c r="I94" s="3" t="s">
        <v>110</v>
      </c>
      <c r="J94" s="3" t="s">
        <v>111</v>
      </c>
      <c r="K94" s="3" t="s">
        <v>25</v>
      </c>
      <c r="L94" s="3" t="s">
        <v>106</v>
      </c>
      <c r="M94" s="3" t="s">
        <v>136</v>
      </c>
      <c r="N94" s="3">
        <v>9</v>
      </c>
      <c r="O94" s="3">
        <v>0.4</v>
      </c>
      <c r="P94" s="3">
        <v>85.18</v>
      </c>
      <c r="Q94" s="3">
        <v>1.8</v>
      </c>
    </row>
    <row r="95" spans="1:17" x14ac:dyDescent="0.3">
      <c r="A95" s="3">
        <v>94</v>
      </c>
      <c r="B95" s="3" t="s">
        <v>299</v>
      </c>
      <c r="C95" s="3" t="s">
        <v>1106</v>
      </c>
      <c r="D95" s="3" t="s">
        <v>1107</v>
      </c>
      <c r="E95" s="3" t="s">
        <v>37</v>
      </c>
      <c r="F95" s="3" t="s">
        <v>300</v>
      </c>
      <c r="G95" s="3" t="s">
        <v>21</v>
      </c>
      <c r="H95" s="3" t="s">
        <v>90</v>
      </c>
      <c r="I95" s="3" t="s">
        <v>110</v>
      </c>
      <c r="J95" s="3" t="s">
        <v>111</v>
      </c>
      <c r="K95" s="3" t="s">
        <v>25</v>
      </c>
      <c r="L95" s="3" t="s">
        <v>53</v>
      </c>
      <c r="M95" s="3" t="s">
        <v>139</v>
      </c>
      <c r="N95" s="3">
        <v>10</v>
      </c>
      <c r="O95" s="3">
        <v>0.2</v>
      </c>
      <c r="P95" s="3">
        <v>741.82</v>
      </c>
      <c r="Q95" s="3">
        <v>83.83</v>
      </c>
    </row>
    <row r="96" spans="1:17" x14ac:dyDescent="0.3">
      <c r="A96" s="3">
        <v>95</v>
      </c>
      <c r="B96" s="3" t="s">
        <v>301</v>
      </c>
      <c r="C96" s="3" t="s">
        <v>1108</v>
      </c>
      <c r="D96" s="3" t="s">
        <v>1109</v>
      </c>
      <c r="E96" s="3" t="s">
        <v>62</v>
      </c>
      <c r="F96" s="3" t="s">
        <v>280</v>
      </c>
      <c r="G96" s="3" t="s">
        <v>30</v>
      </c>
      <c r="H96" s="3" t="s">
        <v>22</v>
      </c>
      <c r="I96" s="3" t="s">
        <v>31</v>
      </c>
      <c r="J96" s="3" t="s">
        <v>32</v>
      </c>
      <c r="K96" s="3" t="s">
        <v>25</v>
      </c>
      <c r="L96" s="3" t="s">
        <v>116</v>
      </c>
      <c r="M96" s="3" t="s">
        <v>202</v>
      </c>
      <c r="N96" s="3">
        <v>8</v>
      </c>
      <c r="O96" s="3">
        <v>0</v>
      </c>
      <c r="P96" s="3">
        <v>510.72</v>
      </c>
      <c r="Q96" s="3">
        <v>-16.170000000000002</v>
      </c>
    </row>
    <row r="97" spans="1:17" x14ac:dyDescent="0.3">
      <c r="A97" s="3">
        <v>96</v>
      </c>
      <c r="B97" s="3" t="s">
        <v>302</v>
      </c>
      <c r="C97" s="3" t="s">
        <v>1110</v>
      </c>
      <c r="D97" s="3" t="s">
        <v>1111</v>
      </c>
      <c r="E97" s="3" t="s">
        <v>56</v>
      </c>
      <c r="F97" s="3" t="s">
        <v>138</v>
      </c>
      <c r="G97" s="3" t="s">
        <v>39</v>
      </c>
      <c r="H97" s="3" t="s">
        <v>46</v>
      </c>
      <c r="I97" s="3" t="s">
        <v>257</v>
      </c>
      <c r="J97" s="3" t="s">
        <v>258</v>
      </c>
      <c r="K97" s="3" t="s">
        <v>25</v>
      </c>
      <c r="L97" s="3" t="s">
        <v>80</v>
      </c>
      <c r="M97" s="3" t="s">
        <v>150</v>
      </c>
      <c r="N97" s="3">
        <v>12</v>
      </c>
      <c r="O97" s="3">
        <v>0</v>
      </c>
      <c r="P97" s="3">
        <v>1229.82</v>
      </c>
      <c r="Q97" s="3">
        <v>-61.47</v>
      </c>
    </row>
    <row r="98" spans="1:17" x14ac:dyDescent="0.3">
      <c r="A98" s="3">
        <v>97</v>
      </c>
      <c r="B98" s="3" t="s">
        <v>303</v>
      </c>
      <c r="C98" s="3" t="s">
        <v>1112</v>
      </c>
      <c r="D98" s="3" t="s">
        <v>1113</v>
      </c>
      <c r="E98" s="3" t="s">
        <v>62</v>
      </c>
      <c r="F98" s="3" t="s">
        <v>304</v>
      </c>
      <c r="G98" s="3" t="s">
        <v>30</v>
      </c>
      <c r="H98" s="3" t="s">
        <v>40</v>
      </c>
      <c r="I98" s="3" t="s">
        <v>223</v>
      </c>
      <c r="J98" s="3" t="s">
        <v>224</v>
      </c>
      <c r="K98" s="3" t="s">
        <v>25</v>
      </c>
      <c r="L98" s="3" t="s">
        <v>116</v>
      </c>
      <c r="M98" s="3" t="s">
        <v>166</v>
      </c>
      <c r="N98" s="3">
        <v>11</v>
      </c>
      <c r="O98" s="3">
        <v>0</v>
      </c>
      <c r="P98" s="3">
        <v>1049.58</v>
      </c>
      <c r="Q98" s="3">
        <v>159.61000000000001</v>
      </c>
    </row>
    <row r="99" spans="1:17" x14ac:dyDescent="0.3">
      <c r="A99" s="3">
        <v>98</v>
      </c>
      <c r="B99" s="3" t="s">
        <v>305</v>
      </c>
      <c r="C99" s="3" t="s">
        <v>1114</v>
      </c>
      <c r="D99" s="3" t="s">
        <v>1115</v>
      </c>
      <c r="E99" s="3" t="s">
        <v>62</v>
      </c>
      <c r="F99" s="3" t="s">
        <v>306</v>
      </c>
      <c r="G99" s="3" t="s">
        <v>39</v>
      </c>
      <c r="H99" s="3" t="s">
        <v>46</v>
      </c>
      <c r="I99" s="3" t="s">
        <v>281</v>
      </c>
      <c r="J99" s="3" t="s">
        <v>282</v>
      </c>
      <c r="K99" s="3" t="s">
        <v>33</v>
      </c>
      <c r="L99" s="3" t="s">
        <v>95</v>
      </c>
      <c r="M99" s="3" t="s">
        <v>96</v>
      </c>
      <c r="N99" s="3">
        <v>4</v>
      </c>
      <c r="O99" s="3">
        <v>0</v>
      </c>
      <c r="P99" s="3">
        <v>2799.94</v>
      </c>
      <c r="Q99" s="3">
        <v>-570.35</v>
      </c>
    </row>
    <row r="100" spans="1:17" x14ac:dyDescent="0.3">
      <c r="A100" s="3">
        <v>99</v>
      </c>
      <c r="B100" s="3" t="s">
        <v>307</v>
      </c>
      <c r="C100" s="3" t="s">
        <v>1116</v>
      </c>
      <c r="D100" s="3" t="s">
        <v>1117</v>
      </c>
      <c r="E100" s="3" t="s">
        <v>19</v>
      </c>
      <c r="F100" s="3" t="s">
        <v>182</v>
      </c>
      <c r="G100" s="3" t="s">
        <v>39</v>
      </c>
      <c r="H100" s="3" t="s">
        <v>46</v>
      </c>
      <c r="I100" s="3" t="s">
        <v>47</v>
      </c>
      <c r="J100" s="3" t="s">
        <v>48</v>
      </c>
      <c r="K100" s="3" t="s">
        <v>33</v>
      </c>
      <c r="L100" s="3" t="s">
        <v>34</v>
      </c>
      <c r="M100" s="3" t="s">
        <v>35</v>
      </c>
      <c r="N100" s="3">
        <v>14</v>
      </c>
      <c r="O100" s="3">
        <v>0</v>
      </c>
      <c r="P100" s="3">
        <v>6897.39</v>
      </c>
      <c r="Q100" s="3">
        <v>1260.22</v>
      </c>
    </row>
    <row r="101" spans="1:17" x14ac:dyDescent="0.3">
      <c r="A101" s="3">
        <v>100</v>
      </c>
      <c r="B101" s="3" t="s">
        <v>308</v>
      </c>
      <c r="C101" s="3" t="s">
        <v>1118</v>
      </c>
      <c r="D101" s="3" t="s">
        <v>1119</v>
      </c>
      <c r="E101" s="3" t="s">
        <v>56</v>
      </c>
      <c r="F101" s="3" t="s">
        <v>309</v>
      </c>
      <c r="G101" s="3" t="s">
        <v>30</v>
      </c>
      <c r="H101" s="3" t="s">
        <v>90</v>
      </c>
      <c r="I101" s="3" t="s">
        <v>91</v>
      </c>
      <c r="J101" s="3" t="s">
        <v>92</v>
      </c>
      <c r="K101" s="3" t="s">
        <v>25</v>
      </c>
      <c r="L101" s="3" t="s">
        <v>53</v>
      </c>
      <c r="M101" s="3" t="s">
        <v>54</v>
      </c>
      <c r="N101" s="3">
        <v>4</v>
      </c>
      <c r="O101" s="3">
        <v>0.4</v>
      </c>
      <c r="P101" s="3">
        <v>135.58000000000001</v>
      </c>
      <c r="Q101" s="3">
        <v>39.64</v>
      </c>
    </row>
    <row r="102" spans="1:17" x14ac:dyDescent="0.3">
      <c r="A102" s="3">
        <v>101</v>
      </c>
      <c r="B102" s="3" t="s">
        <v>310</v>
      </c>
      <c r="C102" s="3" t="s">
        <v>1120</v>
      </c>
      <c r="D102" s="3" t="s">
        <v>1121</v>
      </c>
      <c r="E102" s="3" t="s">
        <v>62</v>
      </c>
      <c r="F102" s="3" t="s">
        <v>311</v>
      </c>
      <c r="G102" s="3" t="s">
        <v>21</v>
      </c>
      <c r="H102" s="3" t="s">
        <v>46</v>
      </c>
      <c r="I102" s="3" t="s">
        <v>146</v>
      </c>
      <c r="J102" s="3" t="s">
        <v>147</v>
      </c>
      <c r="K102" s="3" t="s">
        <v>25</v>
      </c>
      <c r="L102" s="3" t="s">
        <v>74</v>
      </c>
      <c r="M102" s="3" t="s">
        <v>75</v>
      </c>
      <c r="N102" s="3">
        <v>10</v>
      </c>
      <c r="O102" s="3">
        <v>0.15</v>
      </c>
      <c r="P102" s="3">
        <v>175.06</v>
      </c>
      <c r="Q102" s="3">
        <v>-38.28</v>
      </c>
    </row>
    <row r="103" spans="1:17" x14ac:dyDescent="0.3">
      <c r="A103" s="3">
        <v>102</v>
      </c>
      <c r="B103" s="3" t="s">
        <v>312</v>
      </c>
      <c r="C103" s="3" t="s">
        <v>1122</v>
      </c>
      <c r="D103" s="3" t="s">
        <v>1123</v>
      </c>
      <c r="E103" s="3" t="s">
        <v>56</v>
      </c>
      <c r="F103" s="3" t="s">
        <v>313</v>
      </c>
      <c r="G103" s="3" t="s">
        <v>21</v>
      </c>
      <c r="H103" s="3" t="s">
        <v>46</v>
      </c>
      <c r="I103" s="3" t="s">
        <v>257</v>
      </c>
      <c r="J103" s="3" t="s">
        <v>258</v>
      </c>
      <c r="K103" s="3" t="s">
        <v>25</v>
      </c>
      <c r="L103" s="3" t="s">
        <v>106</v>
      </c>
      <c r="M103" s="3" t="s">
        <v>107</v>
      </c>
      <c r="N103" s="3">
        <v>14</v>
      </c>
      <c r="O103" s="3">
        <v>0.1</v>
      </c>
      <c r="P103" s="3">
        <v>728.18</v>
      </c>
      <c r="Q103" s="3">
        <v>174.78</v>
      </c>
    </row>
    <row r="104" spans="1:17" x14ac:dyDescent="0.3">
      <c r="A104" s="3">
        <v>103</v>
      </c>
      <c r="B104" s="3" t="s">
        <v>314</v>
      </c>
      <c r="C104" s="3" t="s">
        <v>1011</v>
      </c>
      <c r="D104" s="3" t="s">
        <v>1124</v>
      </c>
      <c r="E104" s="3" t="s">
        <v>19</v>
      </c>
      <c r="F104" s="3" t="s">
        <v>315</v>
      </c>
      <c r="G104" s="3" t="s">
        <v>30</v>
      </c>
      <c r="H104" s="3" t="s">
        <v>46</v>
      </c>
      <c r="I104" s="3" t="s">
        <v>78</v>
      </c>
      <c r="J104" s="3" t="s">
        <v>79</v>
      </c>
      <c r="K104" s="3" t="s">
        <v>25</v>
      </c>
      <c r="L104" s="3" t="s">
        <v>116</v>
      </c>
      <c r="M104" s="3" t="s">
        <v>166</v>
      </c>
      <c r="N104" s="3">
        <v>6</v>
      </c>
      <c r="O104" s="3">
        <v>0.2</v>
      </c>
      <c r="P104" s="3">
        <v>630.76</v>
      </c>
      <c r="Q104" s="3">
        <v>141.81</v>
      </c>
    </row>
    <row r="105" spans="1:17" x14ac:dyDescent="0.3">
      <c r="A105" s="3">
        <v>104</v>
      </c>
      <c r="B105" s="3" t="s">
        <v>316</v>
      </c>
      <c r="C105" s="3" t="s">
        <v>1125</v>
      </c>
      <c r="D105" s="3" t="s">
        <v>1096</v>
      </c>
      <c r="E105" s="3" t="s">
        <v>62</v>
      </c>
      <c r="F105" s="3" t="s">
        <v>317</v>
      </c>
      <c r="G105" s="3" t="s">
        <v>21</v>
      </c>
      <c r="H105" s="3" t="s">
        <v>90</v>
      </c>
      <c r="I105" s="3" t="s">
        <v>110</v>
      </c>
      <c r="J105" s="3" t="s">
        <v>111</v>
      </c>
      <c r="K105" s="3" t="s">
        <v>25</v>
      </c>
      <c r="L105" s="3" t="s">
        <v>116</v>
      </c>
      <c r="M105" s="3" t="s">
        <v>202</v>
      </c>
      <c r="N105" s="3">
        <v>14</v>
      </c>
      <c r="O105" s="3">
        <v>0.3</v>
      </c>
      <c r="P105" s="3">
        <v>250.26</v>
      </c>
      <c r="Q105" s="3">
        <v>-45.87</v>
      </c>
    </row>
    <row r="106" spans="1:17" x14ac:dyDescent="0.3">
      <c r="A106" s="3">
        <v>105</v>
      </c>
      <c r="B106" s="3" t="s">
        <v>318</v>
      </c>
      <c r="C106" s="3" t="s">
        <v>1126</v>
      </c>
      <c r="D106" s="3" t="s">
        <v>1127</v>
      </c>
      <c r="E106" s="3" t="s">
        <v>62</v>
      </c>
      <c r="F106" s="3" t="s">
        <v>319</v>
      </c>
      <c r="G106" s="3" t="s">
        <v>30</v>
      </c>
      <c r="H106" s="3" t="s">
        <v>40</v>
      </c>
      <c r="I106" s="3" t="s">
        <v>185</v>
      </c>
      <c r="J106" s="3" t="s">
        <v>186</v>
      </c>
      <c r="K106" s="3" t="s">
        <v>25</v>
      </c>
      <c r="L106" s="3" t="s">
        <v>80</v>
      </c>
      <c r="M106" s="3" t="s">
        <v>150</v>
      </c>
      <c r="N106" s="3">
        <v>14</v>
      </c>
      <c r="O106" s="3">
        <v>0</v>
      </c>
      <c r="P106" s="3">
        <v>1523.3</v>
      </c>
      <c r="Q106" s="3">
        <v>196.77</v>
      </c>
    </row>
    <row r="107" spans="1:17" x14ac:dyDescent="0.3">
      <c r="A107" s="3">
        <v>106</v>
      </c>
      <c r="B107" s="3" t="s">
        <v>320</v>
      </c>
      <c r="C107" s="3" t="s">
        <v>1128</v>
      </c>
      <c r="D107" s="3" t="s">
        <v>1129</v>
      </c>
      <c r="E107" s="3" t="s">
        <v>56</v>
      </c>
      <c r="F107" s="3" t="s">
        <v>321</v>
      </c>
      <c r="G107" s="3" t="s">
        <v>21</v>
      </c>
      <c r="H107" s="3" t="s">
        <v>46</v>
      </c>
      <c r="I107" s="3" t="s">
        <v>78</v>
      </c>
      <c r="J107" s="3" t="s">
        <v>79</v>
      </c>
      <c r="K107" s="3" t="s">
        <v>25</v>
      </c>
      <c r="L107" s="3" t="s">
        <v>26</v>
      </c>
      <c r="M107" s="3" t="s">
        <v>155</v>
      </c>
      <c r="N107" s="3">
        <v>9</v>
      </c>
      <c r="O107" s="3">
        <v>0</v>
      </c>
      <c r="P107" s="3">
        <v>1053.08</v>
      </c>
      <c r="Q107" s="3">
        <v>339.14</v>
      </c>
    </row>
    <row r="108" spans="1:17" x14ac:dyDescent="0.3">
      <c r="A108" s="3">
        <v>107</v>
      </c>
      <c r="B108" s="3" t="s">
        <v>322</v>
      </c>
      <c r="C108" s="3" t="s">
        <v>1130</v>
      </c>
      <c r="D108" s="3" t="s">
        <v>1131</v>
      </c>
      <c r="E108" s="3" t="s">
        <v>37</v>
      </c>
      <c r="F108" s="3" t="s">
        <v>323</v>
      </c>
      <c r="G108" s="3" t="s">
        <v>30</v>
      </c>
      <c r="H108" s="3" t="s">
        <v>46</v>
      </c>
      <c r="I108" s="3" t="s">
        <v>281</v>
      </c>
      <c r="J108" s="3" t="s">
        <v>282</v>
      </c>
      <c r="K108" s="3" t="s">
        <v>25</v>
      </c>
      <c r="L108" s="3" t="s">
        <v>106</v>
      </c>
      <c r="M108" s="3" t="s">
        <v>123</v>
      </c>
      <c r="N108" s="3">
        <v>12</v>
      </c>
      <c r="O108" s="3">
        <v>0</v>
      </c>
      <c r="P108" s="3">
        <v>954.46</v>
      </c>
      <c r="Q108" s="3">
        <v>203.21</v>
      </c>
    </row>
    <row r="109" spans="1:17" x14ac:dyDescent="0.3">
      <c r="A109" s="3">
        <v>108</v>
      </c>
      <c r="B109" s="3" t="s">
        <v>324</v>
      </c>
      <c r="C109" s="3" t="s">
        <v>1132</v>
      </c>
      <c r="D109" s="3" t="s">
        <v>1133</v>
      </c>
      <c r="E109" s="3" t="s">
        <v>37</v>
      </c>
      <c r="F109" s="3" t="s">
        <v>163</v>
      </c>
      <c r="G109" s="3" t="s">
        <v>21</v>
      </c>
      <c r="H109" s="3" t="s">
        <v>40</v>
      </c>
      <c r="I109" s="3" t="s">
        <v>185</v>
      </c>
      <c r="J109" s="3" t="s">
        <v>186</v>
      </c>
      <c r="K109" s="3" t="s">
        <v>58</v>
      </c>
      <c r="L109" s="3" t="s">
        <v>217</v>
      </c>
      <c r="M109" s="3" t="s">
        <v>232</v>
      </c>
      <c r="N109" s="3">
        <v>12</v>
      </c>
      <c r="O109" s="3">
        <v>0.4</v>
      </c>
      <c r="P109" s="3">
        <v>4169.1899999999996</v>
      </c>
      <c r="Q109" s="3">
        <v>-949.78</v>
      </c>
    </row>
    <row r="110" spans="1:17" x14ac:dyDescent="0.3">
      <c r="A110" s="3">
        <v>109</v>
      </c>
      <c r="B110" s="3" t="s">
        <v>325</v>
      </c>
      <c r="C110" s="3" t="s">
        <v>962</v>
      </c>
      <c r="D110" s="3" t="s">
        <v>1134</v>
      </c>
      <c r="E110" s="3" t="s">
        <v>37</v>
      </c>
      <c r="F110" s="3" t="s">
        <v>188</v>
      </c>
      <c r="G110" s="3" t="s">
        <v>21</v>
      </c>
      <c r="H110" s="3" t="s">
        <v>46</v>
      </c>
      <c r="I110" s="3" t="s">
        <v>47</v>
      </c>
      <c r="J110" s="3" t="s">
        <v>48</v>
      </c>
      <c r="K110" s="3" t="s">
        <v>25</v>
      </c>
      <c r="L110" s="3" t="s">
        <v>80</v>
      </c>
      <c r="M110" s="3" t="s">
        <v>150</v>
      </c>
      <c r="N110" s="3">
        <v>13</v>
      </c>
      <c r="O110" s="3">
        <v>0.15</v>
      </c>
      <c r="P110" s="3">
        <v>972.52</v>
      </c>
      <c r="Q110" s="3">
        <v>-34.83</v>
      </c>
    </row>
    <row r="111" spans="1:17" x14ac:dyDescent="0.3">
      <c r="A111" s="3">
        <v>110</v>
      </c>
      <c r="B111" s="3" t="s">
        <v>326</v>
      </c>
      <c r="C111" s="3" t="s">
        <v>1135</v>
      </c>
      <c r="D111" s="3" t="s">
        <v>1136</v>
      </c>
      <c r="E111" s="3" t="s">
        <v>19</v>
      </c>
      <c r="F111" s="3" t="s">
        <v>327</v>
      </c>
      <c r="G111" s="3" t="s">
        <v>39</v>
      </c>
      <c r="H111" s="3" t="s">
        <v>90</v>
      </c>
      <c r="I111" s="3" t="s">
        <v>110</v>
      </c>
      <c r="J111" s="3" t="s">
        <v>111</v>
      </c>
      <c r="K111" s="3" t="s">
        <v>25</v>
      </c>
      <c r="L111" s="3" t="s">
        <v>74</v>
      </c>
      <c r="M111" s="3" t="s">
        <v>180</v>
      </c>
      <c r="N111" s="3">
        <v>12</v>
      </c>
      <c r="O111" s="3">
        <v>0.15</v>
      </c>
      <c r="P111" s="3">
        <v>695.71</v>
      </c>
      <c r="Q111" s="3">
        <v>160.49</v>
      </c>
    </row>
    <row r="112" spans="1:17" x14ac:dyDescent="0.3">
      <c r="A112" s="3">
        <v>111</v>
      </c>
      <c r="B112" s="3" t="s">
        <v>328</v>
      </c>
      <c r="C112" s="3" t="s">
        <v>1137</v>
      </c>
      <c r="D112" s="3" t="s">
        <v>1138</v>
      </c>
      <c r="E112" s="3" t="s">
        <v>37</v>
      </c>
      <c r="F112" s="3" t="s">
        <v>192</v>
      </c>
      <c r="G112" s="3" t="s">
        <v>21</v>
      </c>
      <c r="H112" s="3" t="s">
        <v>46</v>
      </c>
      <c r="I112" s="3" t="s">
        <v>281</v>
      </c>
      <c r="J112" s="3" t="s">
        <v>282</v>
      </c>
      <c r="K112" s="3" t="s">
        <v>33</v>
      </c>
      <c r="L112" s="3" t="s">
        <v>64</v>
      </c>
      <c r="M112" s="3" t="s">
        <v>65</v>
      </c>
      <c r="N112" s="3">
        <v>8</v>
      </c>
      <c r="O112" s="3">
        <v>0.3</v>
      </c>
      <c r="P112" s="3">
        <v>3143.28</v>
      </c>
      <c r="Q112" s="3">
        <v>-471.53</v>
      </c>
    </row>
    <row r="113" spans="1:17" x14ac:dyDescent="0.3">
      <c r="A113" s="3">
        <v>112</v>
      </c>
      <c r="B113" s="3" t="s">
        <v>329</v>
      </c>
      <c r="C113" s="3" t="s">
        <v>958</v>
      </c>
      <c r="D113" s="3" t="s">
        <v>1139</v>
      </c>
      <c r="E113" s="3" t="s">
        <v>19</v>
      </c>
      <c r="F113" s="3" t="s">
        <v>330</v>
      </c>
      <c r="G113" s="3" t="s">
        <v>21</v>
      </c>
      <c r="H113" s="3" t="s">
        <v>90</v>
      </c>
      <c r="I113" s="3" t="s">
        <v>99</v>
      </c>
      <c r="J113" s="3" t="s">
        <v>100</v>
      </c>
      <c r="K113" s="3" t="s">
        <v>25</v>
      </c>
      <c r="L113" s="3" t="s">
        <v>116</v>
      </c>
      <c r="M113" s="3" t="s">
        <v>202</v>
      </c>
      <c r="N113" s="3">
        <v>7</v>
      </c>
      <c r="O113" s="3">
        <v>0</v>
      </c>
      <c r="P113" s="3">
        <v>314.08999999999997</v>
      </c>
      <c r="Q113" s="3">
        <v>101.03</v>
      </c>
    </row>
    <row r="114" spans="1:17" x14ac:dyDescent="0.3">
      <c r="A114" s="3">
        <v>113</v>
      </c>
      <c r="B114" s="3" t="s">
        <v>331</v>
      </c>
      <c r="C114" s="3" t="s">
        <v>1140</v>
      </c>
      <c r="D114" s="3" t="s">
        <v>1141</v>
      </c>
      <c r="E114" s="3" t="s">
        <v>19</v>
      </c>
      <c r="F114" s="3" t="s">
        <v>332</v>
      </c>
      <c r="G114" s="3" t="s">
        <v>39</v>
      </c>
      <c r="H114" s="3" t="s">
        <v>22</v>
      </c>
      <c r="I114" s="3" t="s">
        <v>68</v>
      </c>
      <c r="J114" s="3" t="s">
        <v>69</v>
      </c>
      <c r="K114" s="3" t="s">
        <v>58</v>
      </c>
      <c r="L114" s="3" t="s">
        <v>199</v>
      </c>
      <c r="M114" s="3" t="s">
        <v>200</v>
      </c>
      <c r="N114" s="3">
        <v>1</v>
      </c>
      <c r="O114" s="3">
        <v>0.4</v>
      </c>
      <c r="P114" s="3">
        <v>276.67</v>
      </c>
      <c r="Q114" s="3">
        <v>88.34</v>
      </c>
    </row>
    <row r="115" spans="1:17" x14ac:dyDescent="0.3">
      <c r="A115" s="3">
        <v>114</v>
      </c>
      <c r="B115" s="3" t="s">
        <v>333</v>
      </c>
      <c r="C115" s="3" t="s">
        <v>1142</v>
      </c>
      <c r="D115" s="3" t="s">
        <v>1143</v>
      </c>
      <c r="E115" s="3" t="s">
        <v>56</v>
      </c>
      <c r="F115" s="3" t="s">
        <v>334</v>
      </c>
      <c r="G115" s="3" t="s">
        <v>39</v>
      </c>
      <c r="H115" s="3" t="s">
        <v>46</v>
      </c>
      <c r="I115" s="3" t="s">
        <v>146</v>
      </c>
      <c r="J115" s="3" t="s">
        <v>147</v>
      </c>
      <c r="K115" s="3" t="s">
        <v>25</v>
      </c>
      <c r="L115" s="3" t="s">
        <v>106</v>
      </c>
      <c r="M115" s="3" t="s">
        <v>123</v>
      </c>
      <c r="N115" s="3">
        <v>12</v>
      </c>
      <c r="O115" s="3">
        <v>0.3</v>
      </c>
      <c r="P115" s="3">
        <v>261.57</v>
      </c>
      <c r="Q115" s="3">
        <v>77.98</v>
      </c>
    </row>
    <row r="116" spans="1:17" x14ac:dyDescent="0.3">
      <c r="A116" s="3">
        <v>115</v>
      </c>
      <c r="B116" s="3" t="s">
        <v>335</v>
      </c>
      <c r="C116" s="3" t="s">
        <v>1144</v>
      </c>
      <c r="D116" s="3" t="s">
        <v>1145</v>
      </c>
      <c r="E116" s="3" t="s">
        <v>37</v>
      </c>
      <c r="F116" s="3" t="s">
        <v>336</v>
      </c>
      <c r="G116" s="3" t="s">
        <v>39</v>
      </c>
      <c r="H116" s="3" t="s">
        <v>40</v>
      </c>
      <c r="I116" s="3" t="s">
        <v>223</v>
      </c>
      <c r="J116" s="3" t="s">
        <v>224</v>
      </c>
      <c r="K116" s="3" t="s">
        <v>25</v>
      </c>
      <c r="L116" s="3" t="s">
        <v>74</v>
      </c>
      <c r="M116" s="3" t="s">
        <v>75</v>
      </c>
      <c r="N116" s="3">
        <v>14</v>
      </c>
      <c r="O116" s="3">
        <v>0</v>
      </c>
      <c r="P116" s="3">
        <v>150.33000000000001</v>
      </c>
      <c r="Q116" s="3">
        <v>43.48</v>
      </c>
    </row>
    <row r="117" spans="1:17" x14ac:dyDescent="0.3">
      <c r="A117" s="3">
        <v>116</v>
      </c>
      <c r="B117" s="3" t="s">
        <v>337</v>
      </c>
      <c r="C117" s="3" t="s">
        <v>1146</v>
      </c>
      <c r="D117" s="3" t="s">
        <v>1147</v>
      </c>
      <c r="E117" s="3" t="s">
        <v>56</v>
      </c>
      <c r="F117" s="3" t="s">
        <v>338</v>
      </c>
      <c r="G117" s="3" t="s">
        <v>21</v>
      </c>
      <c r="H117" s="3" t="s">
        <v>22</v>
      </c>
      <c r="I117" s="3" t="s">
        <v>31</v>
      </c>
      <c r="J117" s="3" t="s">
        <v>32</v>
      </c>
      <c r="K117" s="3" t="s">
        <v>25</v>
      </c>
      <c r="L117" s="3" t="s">
        <v>106</v>
      </c>
      <c r="M117" s="3" t="s">
        <v>123</v>
      </c>
      <c r="N117" s="3">
        <v>12</v>
      </c>
      <c r="O117" s="3">
        <v>0.2</v>
      </c>
      <c r="P117" s="3">
        <v>871.36</v>
      </c>
      <c r="Q117" s="3">
        <v>48.15</v>
      </c>
    </row>
    <row r="118" spans="1:17" x14ac:dyDescent="0.3">
      <c r="A118" s="3">
        <v>117</v>
      </c>
      <c r="B118" s="3" t="s">
        <v>339</v>
      </c>
      <c r="C118" s="3" t="s">
        <v>1148</v>
      </c>
      <c r="D118" s="3" t="s">
        <v>1149</v>
      </c>
      <c r="E118" s="3" t="s">
        <v>62</v>
      </c>
      <c r="F118" s="3" t="s">
        <v>340</v>
      </c>
      <c r="G118" s="3" t="s">
        <v>30</v>
      </c>
      <c r="H118" s="3" t="s">
        <v>22</v>
      </c>
      <c r="I118" s="3" t="s">
        <v>72</v>
      </c>
      <c r="J118" s="3" t="s">
        <v>73</v>
      </c>
      <c r="K118" s="3" t="s">
        <v>25</v>
      </c>
      <c r="L118" s="3" t="s">
        <v>106</v>
      </c>
      <c r="M118" s="3" t="s">
        <v>107</v>
      </c>
      <c r="N118" s="3">
        <v>10</v>
      </c>
      <c r="O118" s="3">
        <v>0</v>
      </c>
      <c r="P118" s="3">
        <v>1063.4100000000001</v>
      </c>
      <c r="Q118" s="3">
        <v>-68.510000000000005</v>
      </c>
    </row>
    <row r="119" spans="1:17" x14ac:dyDescent="0.3">
      <c r="A119" s="3">
        <v>118</v>
      </c>
      <c r="B119" s="3" t="s">
        <v>341</v>
      </c>
      <c r="C119" s="3" t="s">
        <v>1150</v>
      </c>
      <c r="D119" s="3" t="s">
        <v>1151</v>
      </c>
      <c r="E119" s="3" t="s">
        <v>62</v>
      </c>
      <c r="F119" s="3" t="s">
        <v>304</v>
      </c>
      <c r="G119" s="3" t="s">
        <v>21</v>
      </c>
      <c r="H119" s="3" t="s">
        <v>40</v>
      </c>
      <c r="I119" s="3" t="s">
        <v>41</v>
      </c>
      <c r="J119" s="3" t="s">
        <v>42</v>
      </c>
      <c r="K119" s="3" t="s">
        <v>25</v>
      </c>
      <c r="L119" s="3" t="s">
        <v>74</v>
      </c>
      <c r="M119" s="3" t="s">
        <v>180</v>
      </c>
      <c r="N119" s="3">
        <v>6</v>
      </c>
      <c r="O119" s="3">
        <v>0</v>
      </c>
      <c r="P119" s="3">
        <v>102.86</v>
      </c>
      <c r="Q119" s="3">
        <v>21.67</v>
      </c>
    </row>
    <row r="120" spans="1:17" x14ac:dyDescent="0.3">
      <c r="A120" s="3">
        <v>119</v>
      </c>
      <c r="B120" s="3" t="s">
        <v>342</v>
      </c>
      <c r="C120" s="3" t="s">
        <v>1152</v>
      </c>
      <c r="D120" s="3" t="s">
        <v>1153</v>
      </c>
      <c r="E120" s="3" t="s">
        <v>62</v>
      </c>
      <c r="F120" s="3" t="s">
        <v>319</v>
      </c>
      <c r="G120" s="3" t="s">
        <v>39</v>
      </c>
      <c r="H120" s="3" t="s">
        <v>40</v>
      </c>
      <c r="I120" s="3" t="s">
        <v>41</v>
      </c>
      <c r="J120" s="3" t="s">
        <v>42</v>
      </c>
      <c r="K120" s="3" t="s">
        <v>33</v>
      </c>
      <c r="L120" s="3" t="s">
        <v>64</v>
      </c>
      <c r="M120" s="3" t="s">
        <v>65</v>
      </c>
      <c r="N120" s="3">
        <v>9</v>
      </c>
      <c r="O120" s="3">
        <v>0</v>
      </c>
      <c r="P120" s="3">
        <v>5661.67</v>
      </c>
      <c r="Q120" s="3">
        <v>-564.11</v>
      </c>
    </row>
    <row r="121" spans="1:17" x14ac:dyDescent="0.3">
      <c r="A121" s="3">
        <v>120</v>
      </c>
      <c r="B121" s="3" t="s">
        <v>343</v>
      </c>
      <c r="C121" s="3" t="s">
        <v>1154</v>
      </c>
      <c r="D121" s="3" t="s">
        <v>939</v>
      </c>
      <c r="E121" s="3" t="s">
        <v>37</v>
      </c>
      <c r="F121" s="3" t="s">
        <v>20</v>
      </c>
      <c r="G121" s="3" t="s">
        <v>21</v>
      </c>
      <c r="H121" s="3" t="s">
        <v>40</v>
      </c>
      <c r="I121" s="3" t="s">
        <v>223</v>
      </c>
      <c r="J121" s="3" t="s">
        <v>224</v>
      </c>
      <c r="K121" s="3" t="s">
        <v>58</v>
      </c>
      <c r="L121" s="3" t="s">
        <v>86</v>
      </c>
      <c r="M121" s="3" t="s">
        <v>87</v>
      </c>
      <c r="N121" s="3">
        <v>12</v>
      </c>
      <c r="O121" s="3">
        <v>0.2</v>
      </c>
      <c r="P121" s="3">
        <v>5120.45</v>
      </c>
      <c r="Q121" s="3">
        <v>1308.3699999999999</v>
      </c>
    </row>
    <row r="122" spans="1:17" x14ac:dyDescent="0.3">
      <c r="A122" s="3">
        <v>121</v>
      </c>
      <c r="B122" s="3" t="s">
        <v>344</v>
      </c>
      <c r="C122" s="3" t="s">
        <v>1155</v>
      </c>
      <c r="D122" s="3" t="s">
        <v>1156</v>
      </c>
      <c r="E122" s="3" t="s">
        <v>62</v>
      </c>
      <c r="F122" s="3" t="s">
        <v>345</v>
      </c>
      <c r="G122" s="3" t="s">
        <v>21</v>
      </c>
      <c r="H122" s="3" t="s">
        <v>40</v>
      </c>
      <c r="I122" s="3" t="s">
        <v>223</v>
      </c>
      <c r="J122" s="3" t="s">
        <v>224</v>
      </c>
      <c r="K122" s="3" t="s">
        <v>25</v>
      </c>
      <c r="L122" s="3" t="s">
        <v>53</v>
      </c>
      <c r="M122" s="3" t="s">
        <v>139</v>
      </c>
      <c r="N122" s="3">
        <v>9</v>
      </c>
      <c r="O122" s="3">
        <v>0.15</v>
      </c>
      <c r="P122" s="3">
        <v>310.98</v>
      </c>
      <c r="Q122" s="3">
        <v>12.37</v>
      </c>
    </row>
    <row r="123" spans="1:17" x14ac:dyDescent="0.3">
      <c r="A123" s="3">
        <v>122</v>
      </c>
      <c r="B123" s="3" t="s">
        <v>346</v>
      </c>
      <c r="C123" s="3" t="s">
        <v>1157</v>
      </c>
      <c r="D123" s="3" t="s">
        <v>1158</v>
      </c>
      <c r="E123" s="3" t="s">
        <v>62</v>
      </c>
      <c r="F123" s="3" t="s">
        <v>347</v>
      </c>
      <c r="G123" s="3" t="s">
        <v>30</v>
      </c>
      <c r="H123" s="3" t="s">
        <v>40</v>
      </c>
      <c r="I123" s="3" t="s">
        <v>185</v>
      </c>
      <c r="J123" s="3" t="s">
        <v>186</v>
      </c>
      <c r="K123" s="3" t="s">
        <v>25</v>
      </c>
      <c r="L123" s="3" t="s">
        <v>74</v>
      </c>
      <c r="M123" s="3" t="s">
        <v>75</v>
      </c>
      <c r="N123" s="3">
        <v>3</v>
      </c>
      <c r="O123" s="3">
        <v>0.2</v>
      </c>
      <c r="P123" s="3">
        <v>109.65</v>
      </c>
      <c r="Q123" s="3">
        <v>20.89</v>
      </c>
    </row>
    <row r="124" spans="1:17" x14ac:dyDescent="0.3">
      <c r="A124" s="3">
        <v>123</v>
      </c>
      <c r="B124" s="3" t="s">
        <v>348</v>
      </c>
      <c r="C124" s="3" t="s">
        <v>1159</v>
      </c>
      <c r="D124" s="3" t="s">
        <v>1160</v>
      </c>
      <c r="E124" s="3" t="s">
        <v>37</v>
      </c>
      <c r="F124" s="3" t="s">
        <v>349</v>
      </c>
      <c r="G124" s="3" t="s">
        <v>30</v>
      </c>
      <c r="H124" s="3" t="s">
        <v>46</v>
      </c>
      <c r="I124" s="3" t="s">
        <v>78</v>
      </c>
      <c r="J124" s="3" t="s">
        <v>79</v>
      </c>
      <c r="K124" s="3" t="s">
        <v>25</v>
      </c>
      <c r="L124" s="3" t="s">
        <v>106</v>
      </c>
      <c r="M124" s="3" t="s">
        <v>107</v>
      </c>
      <c r="N124" s="3">
        <v>2</v>
      </c>
      <c r="O124" s="3">
        <v>0.3</v>
      </c>
      <c r="P124" s="3">
        <v>14.51</v>
      </c>
      <c r="Q124" s="3">
        <v>3.9</v>
      </c>
    </row>
    <row r="125" spans="1:17" x14ac:dyDescent="0.3">
      <c r="A125" s="3">
        <v>124</v>
      </c>
      <c r="B125" s="3" t="s">
        <v>350</v>
      </c>
      <c r="C125" s="3" t="s">
        <v>1161</v>
      </c>
      <c r="D125" s="3" t="s">
        <v>1162</v>
      </c>
      <c r="E125" s="3" t="s">
        <v>62</v>
      </c>
      <c r="F125" s="3" t="s">
        <v>351</v>
      </c>
      <c r="G125" s="3" t="s">
        <v>30</v>
      </c>
      <c r="H125" s="3" t="s">
        <v>40</v>
      </c>
      <c r="I125" s="3" t="s">
        <v>114</v>
      </c>
      <c r="J125" s="3" t="s">
        <v>115</v>
      </c>
      <c r="K125" s="3" t="s">
        <v>25</v>
      </c>
      <c r="L125" s="3" t="s">
        <v>80</v>
      </c>
      <c r="M125" s="3" t="s">
        <v>150</v>
      </c>
      <c r="N125" s="3">
        <v>8</v>
      </c>
      <c r="O125" s="3">
        <v>0.3</v>
      </c>
      <c r="P125" s="3">
        <v>34.47</v>
      </c>
      <c r="Q125" s="3">
        <v>1.84</v>
      </c>
    </row>
    <row r="126" spans="1:17" x14ac:dyDescent="0.3">
      <c r="A126" s="3">
        <v>125</v>
      </c>
      <c r="B126" s="3" t="s">
        <v>352</v>
      </c>
      <c r="C126" s="3" t="s">
        <v>1163</v>
      </c>
      <c r="D126" s="3" t="s">
        <v>1164</v>
      </c>
      <c r="E126" s="3" t="s">
        <v>62</v>
      </c>
      <c r="F126" s="3" t="s">
        <v>353</v>
      </c>
      <c r="G126" s="3" t="s">
        <v>30</v>
      </c>
      <c r="H126" s="3" t="s">
        <v>22</v>
      </c>
      <c r="I126" s="3" t="s">
        <v>72</v>
      </c>
      <c r="J126" s="3" t="s">
        <v>73</v>
      </c>
      <c r="K126" s="3" t="s">
        <v>25</v>
      </c>
      <c r="L126" s="3" t="s">
        <v>53</v>
      </c>
      <c r="M126" s="3" t="s">
        <v>171</v>
      </c>
      <c r="N126" s="3">
        <v>9</v>
      </c>
      <c r="O126" s="3">
        <v>0</v>
      </c>
      <c r="P126" s="3">
        <v>26.68</v>
      </c>
      <c r="Q126" s="3">
        <v>0.23</v>
      </c>
    </row>
    <row r="127" spans="1:17" x14ac:dyDescent="0.3">
      <c r="A127" s="3">
        <v>126</v>
      </c>
      <c r="B127" s="3" t="s">
        <v>354</v>
      </c>
      <c r="C127" s="3" t="s">
        <v>973</v>
      </c>
      <c r="D127" s="3" t="s">
        <v>1165</v>
      </c>
      <c r="E127" s="3" t="s">
        <v>19</v>
      </c>
      <c r="F127" s="3" t="s">
        <v>355</v>
      </c>
      <c r="G127" s="3" t="s">
        <v>21</v>
      </c>
      <c r="H127" s="3" t="s">
        <v>90</v>
      </c>
      <c r="I127" s="3" t="s">
        <v>169</v>
      </c>
      <c r="J127" s="3" t="s">
        <v>170</v>
      </c>
      <c r="K127" s="3" t="s">
        <v>25</v>
      </c>
      <c r="L127" s="3" t="s">
        <v>26</v>
      </c>
      <c r="M127" s="3" t="s">
        <v>259</v>
      </c>
      <c r="N127" s="3">
        <v>2</v>
      </c>
      <c r="O127" s="3">
        <v>0.4</v>
      </c>
      <c r="P127" s="3">
        <v>83.76</v>
      </c>
      <c r="Q127" s="3">
        <v>17.48</v>
      </c>
    </row>
    <row r="128" spans="1:17" x14ac:dyDescent="0.3">
      <c r="A128" s="3">
        <v>127</v>
      </c>
      <c r="B128" s="3" t="s">
        <v>356</v>
      </c>
      <c r="C128" s="3" t="s">
        <v>1166</v>
      </c>
      <c r="D128" s="3" t="s">
        <v>1167</v>
      </c>
      <c r="E128" s="3" t="s">
        <v>37</v>
      </c>
      <c r="F128" s="3" t="s">
        <v>357</v>
      </c>
      <c r="G128" s="3" t="s">
        <v>39</v>
      </c>
      <c r="H128" s="3" t="s">
        <v>22</v>
      </c>
      <c r="I128" s="3" t="s">
        <v>84</v>
      </c>
      <c r="J128" s="3" t="s">
        <v>85</v>
      </c>
      <c r="K128" s="3" t="s">
        <v>25</v>
      </c>
      <c r="L128" s="3" t="s">
        <v>106</v>
      </c>
      <c r="M128" s="3" t="s">
        <v>136</v>
      </c>
      <c r="N128" s="3">
        <v>3</v>
      </c>
      <c r="O128" s="3">
        <v>0.3</v>
      </c>
      <c r="P128" s="3">
        <v>69.58</v>
      </c>
      <c r="Q128" s="3">
        <v>3.48</v>
      </c>
    </row>
    <row r="129" spans="1:17" x14ac:dyDescent="0.3">
      <c r="A129" s="3">
        <v>128</v>
      </c>
      <c r="B129" s="3" t="s">
        <v>358</v>
      </c>
      <c r="C129" s="3" t="s">
        <v>1168</v>
      </c>
      <c r="D129" s="3" t="s">
        <v>1169</v>
      </c>
      <c r="E129" s="3" t="s">
        <v>62</v>
      </c>
      <c r="F129" s="3" t="s">
        <v>241</v>
      </c>
      <c r="G129" s="3" t="s">
        <v>30</v>
      </c>
      <c r="H129" s="3" t="s">
        <v>90</v>
      </c>
      <c r="I129" s="3" t="s">
        <v>91</v>
      </c>
      <c r="J129" s="3" t="s">
        <v>92</v>
      </c>
      <c r="K129" s="3" t="s">
        <v>25</v>
      </c>
      <c r="L129" s="3" t="s">
        <v>80</v>
      </c>
      <c r="M129" s="3" t="s">
        <v>81</v>
      </c>
      <c r="N129" s="3">
        <v>6</v>
      </c>
      <c r="O129" s="3">
        <v>0.15</v>
      </c>
      <c r="P129" s="3">
        <v>121.33</v>
      </c>
      <c r="Q129" s="3">
        <v>12.89</v>
      </c>
    </row>
    <row r="130" spans="1:17" x14ac:dyDescent="0.3">
      <c r="A130" s="3">
        <v>129</v>
      </c>
      <c r="B130" s="3" t="s">
        <v>359</v>
      </c>
      <c r="C130" s="3" t="s">
        <v>1170</v>
      </c>
      <c r="D130" s="3" t="s">
        <v>1171</v>
      </c>
      <c r="E130" s="3" t="s">
        <v>62</v>
      </c>
      <c r="F130" s="3" t="s">
        <v>119</v>
      </c>
      <c r="G130" s="3" t="s">
        <v>21</v>
      </c>
      <c r="H130" s="3" t="s">
        <v>46</v>
      </c>
      <c r="I130" s="3" t="s">
        <v>281</v>
      </c>
      <c r="J130" s="3" t="s">
        <v>282</v>
      </c>
      <c r="K130" s="3" t="s">
        <v>25</v>
      </c>
      <c r="L130" s="3" t="s">
        <v>74</v>
      </c>
      <c r="M130" s="3" t="s">
        <v>101</v>
      </c>
      <c r="N130" s="3">
        <v>12</v>
      </c>
      <c r="O130" s="3">
        <v>0</v>
      </c>
      <c r="P130" s="3">
        <v>1258.8900000000001</v>
      </c>
      <c r="Q130" s="3">
        <v>136.13999999999999</v>
      </c>
    </row>
    <row r="131" spans="1:17" x14ac:dyDescent="0.3">
      <c r="A131" s="3">
        <v>130</v>
      </c>
      <c r="B131" s="3" t="s">
        <v>360</v>
      </c>
      <c r="C131" s="3" t="s">
        <v>1172</v>
      </c>
      <c r="D131" s="3" t="s">
        <v>1173</v>
      </c>
      <c r="E131" s="3" t="s">
        <v>37</v>
      </c>
      <c r="F131" s="3" t="s">
        <v>175</v>
      </c>
      <c r="G131" s="3" t="s">
        <v>30</v>
      </c>
      <c r="H131" s="3" t="s">
        <v>90</v>
      </c>
      <c r="I131" s="3" t="s">
        <v>104</v>
      </c>
      <c r="J131" s="3" t="s">
        <v>105</v>
      </c>
      <c r="K131" s="3" t="s">
        <v>25</v>
      </c>
      <c r="L131" s="3" t="s">
        <v>53</v>
      </c>
      <c r="M131" s="3" t="s">
        <v>171</v>
      </c>
      <c r="N131" s="3">
        <v>14</v>
      </c>
      <c r="O131" s="3">
        <v>0</v>
      </c>
      <c r="P131" s="3">
        <v>1152.56</v>
      </c>
      <c r="Q131" s="3">
        <v>107.81</v>
      </c>
    </row>
    <row r="132" spans="1:17" x14ac:dyDescent="0.3">
      <c r="A132" s="3">
        <v>131</v>
      </c>
      <c r="B132" s="3" t="s">
        <v>361</v>
      </c>
      <c r="C132" s="3" t="s">
        <v>1174</v>
      </c>
      <c r="D132" s="3" t="s">
        <v>1175</v>
      </c>
      <c r="E132" s="3" t="s">
        <v>56</v>
      </c>
      <c r="F132" s="3" t="s">
        <v>362</v>
      </c>
      <c r="G132" s="3" t="s">
        <v>39</v>
      </c>
      <c r="H132" s="3" t="s">
        <v>90</v>
      </c>
      <c r="I132" s="3" t="s">
        <v>104</v>
      </c>
      <c r="J132" s="3" t="s">
        <v>105</v>
      </c>
      <c r="K132" s="3" t="s">
        <v>25</v>
      </c>
      <c r="L132" s="3" t="s">
        <v>26</v>
      </c>
      <c r="M132" s="3" t="s">
        <v>259</v>
      </c>
      <c r="N132" s="3">
        <v>10</v>
      </c>
      <c r="O132" s="3">
        <v>0</v>
      </c>
      <c r="P132" s="3">
        <v>1106.21</v>
      </c>
      <c r="Q132" s="3">
        <v>191.89</v>
      </c>
    </row>
    <row r="133" spans="1:17" x14ac:dyDescent="0.3">
      <c r="A133" s="3">
        <v>132</v>
      </c>
      <c r="B133" s="3" t="s">
        <v>363</v>
      </c>
      <c r="C133" s="3" t="s">
        <v>1176</v>
      </c>
      <c r="D133" s="3" t="s">
        <v>1177</v>
      </c>
      <c r="E133" s="3" t="s">
        <v>37</v>
      </c>
      <c r="F133" s="3" t="s">
        <v>161</v>
      </c>
      <c r="G133" s="3" t="s">
        <v>39</v>
      </c>
      <c r="H133" s="3" t="s">
        <v>90</v>
      </c>
      <c r="I133" s="3" t="s">
        <v>99</v>
      </c>
      <c r="J133" s="3" t="s">
        <v>100</v>
      </c>
      <c r="K133" s="3" t="s">
        <v>58</v>
      </c>
      <c r="L133" s="3" t="s">
        <v>217</v>
      </c>
      <c r="M133" s="3" t="s">
        <v>218</v>
      </c>
      <c r="N133" s="3">
        <v>11</v>
      </c>
      <c r="O133" s="3">
        <v>0.15</v>
      </c>
      <c r="P133" s="3">
        <v>4126.7299999999996</v>
      </c>
      <c r="Q133" s="3">
        <v>478.89</v>
      </c>
    </row>
    <row r="134" spans="1:17" x14ac:dyDescent="0.3">
      <c r="A134" s="3">
        <v>133</v>
      </c>
      <c r="B134" s="3" t="s">
        <v>364</v>
      </c>
      <c r="C134" s="3" t="s">
        <v>942</v>
      </c>
      <c r="D134" s="3" t="s">
        <v>1178</v>
      </c>
      <c r="E134" s="3" t="s">
        <v>37</v>
      </c>
      <c r="F134" s="3" t="s">
        <v>365</v>
      </c>
      <c r="G134" s="3" t="s">
        <v>21</v>
      </c>
      <c r="H134" s="3" t="s">
        <v>40</v>
      </c>
      <c r="I134" s="3" t="s">
        <v>41</v>
      </c>
      <c r="J134" s="3" t="s">
        <v>42</v>
      </c>
      <c r="K134" s="3" t="s">
        <v>58</v>
      </c>
      <c r="L134" s="3" t="s">
        <v>86</v>
      </c>
      <c r="M134" s="3" t="s">
        <v>133</v>
      </c>
      <c r="N134" s="3">
        <v>6</v>
      </c>
      <c r="O134" s="3">
        <v>0.15</v>
      </c>
      <c r="P134" s="3">
        <v>1464.06</v>
      </c>
      <c r="Q134" s="3">
        <v>-113.21</v>
      </c>
    </row>
    <row r="135" spans="1:17" x14ac:dyDescent="0.3">
      <c r="A135" s="3">
        <v>134</v>
      </c>
      <c r="B135" s="3" t="s">
        <v>366</v>
      </c>
      <c r="C135" s="3" t="s">
        <v>1047</v>
      </c>
      <c r="D135" s="3" t="s">
        <v>1179</v>
      </c>
      <c r="E135" s="3" t="s">
        <v>62</v>
      </c>
      <c r="F135" s="3" t="s">
        <v>367</v>
      </c>
      <c r="G135" s="3" t="s">
        <v>21</v>
      </c>
      <c r="H135" s="3" t="s">
        <v>22</v>
      </c>
      <c r="I135" s="3" t="s">
        <v>72</v>
      </c>
      <c r="J135" s="3" t="s">
        <v>73</v>
      </c>
      <c r="K135" s="3" t="s">
        <v>58</v>
      </c>
      <c r="L135" s="3" t="s">
        <v>59</v>
      </c>
      <c r="M135" s="3" t="s">
        <v>220</v>
      </c>
      <c r="N135" s="3">
        <v>5</v>
      </c>
      <c r="O135" s="3">
        <v>0.1</v>
      </c>
      <c r="P135" s="3">
        <v>1849.06</v>
      </c>
      <c r="Q135" s="3">
        <v>-238.08</v>
      </c>
    </row>
    <row r="136" spans="1:17" x14ac:dyDescent="0.3">
      <c r="A136" s="3">
        <v>135</v>
      </c>
      <c r="B136" s="3" t="s">
        <v>368</v>
      </c>
      <c r="C136" s="3" t="s">
        <v>1180</v>
      </c>
      <c r="D136" s="3" t="s">
        <v>1089</v>
      </c>
      <c r="E136" s="3" t="s">
        <v>56</v>
      </c>
      <c r="F136" s="3" t="s">
        <v>369</v>
      </c>
      <c r="G136" s="3" t="s">
        <v>21</v>
      </c>
      <c r="H136" s="3" t="s">
        <v>40</v>
      </c>
      <c r="I136" s="3" t="s">
        <v>114</v>
      </c>
      <c r="J136" s="3" t="s">
        <v>115</v>
      </c>
      <c r="K136" s="3" t="s">
        <v>33</v>
      </c>
      <c r="L136" s="3" t="s">
        <v>95</v>
      </c>
      <c r="M136" s="3" t="s">
        <v>370</v>
      </c>
      <c r="N136" s="3">
        <v>7</v>
      </c>
      <c r="O136" s="3">
        <v>0.4</v>
      </c>
      <c r="P136" s="3">
        <v>1527.36</v>
      </c>
      <c r="Q136" s="3">
        <v>-289.7</v>
      </c>
    </row>
    <row r="137" spans="1:17" x14ac:dyDescent="0.3">
      <c r="A137" s="3">
        <v>136</v>
      </c>
      <c r="B137" s="3" t="s">
        <v>371</v>
      </c>
      <c r="C137" s="3" t="s">
        <v>1111</v>
      </c>
      <c r="D137" s="3" t="s">
        <v>1181</v>
      </c>
      <c r="E137" s="3" t="s">
        <v>56</v>
      </c>
      <c r="F137" s="3" t="s">
        <v>372</v>
      </c>
      <c r="G137" s="3" t="s">
        <v>21</v>
      </c>
      <c r="H137" s="3" t="s">
        <v>90</v>
      </c>
      <c r="I137" s="3" t="s">
        <v>110</v>
      </c>
      <c r="J137" s="3" t="s">
        <v>111</v>
      </c>
      <c r="K137" s="3" t="s">
        <v>25</v>
      </c>
      <c r="L137" s="3" t="s">
        <v>106</v>
      </c>
      <c r="M137" s="3" t="s">
        <v>107</v>
      </c>
      <c r="N137" s="3">
        <v>1</v>
      </c>
      <c r="O137" s="3">
        <v>0</v>
      </c>
      <c r="P137" s="3">
        <v>109.14</v>
      </c>
      <c r="Q137" s="3">
        <v>15.43</v>
      </c>
    </row>
    <row r="138" spans="1:17" x14ac:dyDescent="0.3">
      <c r="A138" s="3">
        <v>137</v>
      </c>
      <c r="B138" s="3" t="s">
        <v>373</v>
      </c>
      <c r="C138" s="3" t="s">
        <v>1182</v>
      </c>
      <c r="D138" s="3" t="s">
        <v>1183</v>
      </c>
      <c r="E138" s="3" t="s">
        <v>56</v>
      </c>
      <c r="F138" s="3" t="s">
        <v>374</v>
      </c>
      <c r="G138" s="3" t="s">
        <v>30</v>
      </c>
      <c r="H138" s="3" t="s">
        <v>40</v>
      </c>
      <c r="I138" s="3" t="s">
        <v>158</v>
      </c>
      <c r="J138" s="3" t="s">
        <v>159</v>
      </c>
      <c r="K138" s="3" t="s">
        <v>58</v>
      </c>
      <c r="L138" s="3" t="s">
        <v>217</v>
      </c>
      <c r="M138" s="3" t="s">
        <v>218</v>
      </c>
      <c r="N138" s="3">
        <v>14</v>
      </c>
      <c r="O138" s="3">
        <v>0</v>
      </c>
      <c r="P138" s="3">
        <v>6513.34</v>
      </c>
      <c r="Q138" s="3">
        <v>-1592.12</v>
      </c>
    </row>
    <row r="139" spans="1:17" x14ac:dyDescent="0.3">
      <c r="A139" s="3">
        <v>138</v>
      </c>
      <c r="B139" s="3" t="s">
        <v>375</v>
      </c>
      <c r="C139" s="3" t="s">
        <v>1184</v>
      </c>
      <c r="D139" s="3" t="s">
        <v>1185</v>
      </c>
      <c r="E139" s="3" t="s">
        <v>19</v>
      </c>
      <c r="F139" s="3" t="s">
        <v>374</v>
      </c>
      <c r="G139" s="3" t="s">
        <v>39</v>
      </c>
      <c r="H139" s="3" t="s">
        <v>40</v>
      </c>
      <c r="I139" s="3" t="s">
        <v>223</v>
      </c>
      <c r="J139" s="3" t="s">
        <v>224</v>
      </c>
      <c r="K139" s="3" t="s">
        <v>25</v>
      </c>
      <c r="L139" s="3" t="s">
        <v>26</v>
      </c>
      <c r="M139" s="3" t="s">
        <v>27</v>
      </c>
      <c r="N139" s="3">
        <v>12</v>
      </c>
      <c r="O139" s="3">
        <v>0.15</v>
      </c>
      <c r="P139" s="3">
        <v>643.5</v>
      </c>
      <c r="Q139" s="3">
        <v>116.58</v>
      </c>
    </row>
    <row r="140" spans="1:17" x14ac:dyDescent="0.3">
      <c r="A140" s="3">
        <v>139</v>
      </c>
      <c r="B140" s="3" t="s">
        <v>1186</v>
      </c>
      <c r="C140" s="3" t="s">
        <v>1187</v>
      </c>
      <c r="D140" s="3" t="s">
        <v>1188</v>
      </c>
      <c r="E140" s="3" t="s">
        <v>62</v>
      </c>
      <c r="F140" s="3" t="s">
        <v>425</v>
      </c>
      <c r="G140" s="3" t="s">
        <v>21</v>
      </c>
      <c r="H140" s="3" t="s">
        <v>40</v>
      </c>
      <c r="I140" s="3" t="s">
        <v>223</v>
      </c>
      <c r="J140" s="3" t="s">
        <v>224</v>
      </c>
      <c r="K140" s="3" t="s">
        <v>58</v>
      </c>
      <c r="L140" s="3" t="s">
        <v>217</v>
      </c>
      <c r="M140" s="3" t="s">
        <v>218</v>
      </c>
      <c r="N140" s="3">
        <v>2</v>
      </c>
      <c r="O140" s="3">
        <v>0</v>
      </c>
      <c r="P140" s="3"/>
      <c r="Q140" s="3">
        <v>-60.77</v>
      </c>
    </row>
    <row r="141" spans="1:17" x14ac:dyDescent="0.3">
      <c r="A141" s="3">
        <v>140</v>
      </c>
      <c r="B141" s="3" t="s">
        <v>376</v>
      </c>
      <c r="C141" s="3" t="s">
        <v>1006</v>
      </c>
      <c r="D141" s="3" t="s">
        <v>1189</v>
      </c>
      <c r="E141" s="3" t="s">
        <v>37</v>
      </c>
      <c r="F141" s="3" t="s">
        <v>377</v>
      </c>
      <c r="G141" s="3" t="s">
        <v>30</v>
      </c>
      <c r="H141" s="3" t="s">
        <v>46</v>
      </c>
      <c r="I141" s="3" t="s">
        <v>146</v>
      </c>
      <c r="J141" s="3" t="s">
        <v>147</v>
      </c>
      <c r="K141" s="3" t="s">
        <v>25</v>
      </c>
      <c r="L141" s="3" t="s">
        <v>106</v>
      </c>
      <c r="M141" s="3" t="s">
        <v>107</v>
      </c>
      <c r="N141" s="3">
        <v>12</v>
      </c>
      <c r="O141" s="3">
        <v>0.15</v>
      </c>
      <c r="P141" s="3">
        <v>797.61</v>
      </c>
      <c r="Q141" s="3">
        <v>113.43</v>
      </c>
    </row>
    <row r="142" spans="1:17" x14ac:dyDescent="0.3">
      <c r="A142" s="3">
        <v>141</v>
      </c>
      <c r="B142" s="3" t="s">
        <v>378</v>
      </c>
      <c r="C142" s="3" t="s">
        <v>1190</v>
      </c>
      <c r="D142" s="3" t="s">
        <v>1191</v>
      </c>
      <c r="E142" s="3" t="s">
        <v>19</v>
      </c>
      <c r="F142" s="3" t="s">
        <v>379</v>
      </c>
      <c r="G142" s="3" t="s">
        <v>30</v>
      </c>
      <c r="H142" s="3" t="s">
        <v>40</v>
      </c>
      <c r="I142" s="3" t="s">
        <v>185</v>
      </c>
      <c r="J142" s="3" t="s">
        <v>186</v>
      </c>
      <c r="K142" s="3" t="s">
        <v>25</v>
      </c>
      <c r="L142" s="3" t="s">
        <v>53</v>
      </c>
      <c r="M142" s="3" t="s">
        <v>54</v>
      </c>
      <c r="N142" s="3">
        <v>11</v>
      </c>
      <c r="O142" s="3">
        <v>0.15</v>
      </c>
      <c r="P142" s="3">
        <v>1156.6400000000001</v>
      </c>
      <c r="Q142" s="3">
        <v>-34.090000000000003</v>
      </c>
    </row>
    <row r="143" spans="1:17" x14ac:dyDescent="0.3">
      <c r="A143" s="3">
        <v>142</v>
      </c>
      <c r="B143" s="3" t="s">
        <v>380</v>
      </c>
      <c r="C143" s="3" t="s">
        <v>1192</v>
      </c>
      <c r="D143" s="3" t="s">
        <v>1193</v>
      </c>
      <c r="E143" s="3" t="s">
        <v>37</v>
      </c>
      <c r="F143" s="3" t="s">
        <v>381</v>
      </c>
      <c r="G143" s="3" t="s">
        <v>39</v>
      </c>
      <c r="H143" s="3" t="s">
        <v>90</v>
      </c>
      <c r="I143" s="3" t="s">
        <v>91</v>
      </c>
      <c r="J143" s="3" t="s">
        <v>92</v>
      </c>
      <c r="K143" s="3" t="s">
        <v>25</v>
      </c>
      <c r="L143" s="3" t="s">
        <v>53</v>
      </c>
      <c r="M143" s="3" t="s">
        <v>171</v>
      </c>
      <c r="N143" s="3">
        <v>9</v>
      </c>
      <c r="O143" s="3">
        <v>0.1</v>
      </c>
      <c r="P143" s="3">
        <v>843.63</v>
      </c>
      <c r="Q143" s="3">
        <v>174.73</v>
      </c>
    </row>
    <row r="144" spans="1:17" x14ac:dyDescent="0.3">
      <c r="A144" s="3">
        <v>143</v>
      </c>
      <c r="B144" s="3" t="s">
        <v>382</v>
      </c>
      <c r="C144" s="3" t="s">
        <v>1194</v>
      </c>
      <c r="D144" s="3" t="s">
        <v>1195</v>
      </c>
      <c r="E144" s="3" t="s">
        <v>62</v>
      </c>
      <c r="F144" s="3" t="s">
        <v>383</v>
      </c>
      <c r="G144" s="3" t="s">
        <v>30</v>
      </c>
      <c r="H144" s="3" t="s">
        <v>22</v>
      </c>
      <c r="I144" s="3" t="s">
        <v>31</v>
      </c>
      <c r="J144" s="3" t="s">
        <v>32</v>
      </c>
      <c r="K144" s="3" t="s">
        <v>33</v>
      </c>
      <c r="L144" s="3" t="s">
        <v>95</v>
      </c>
      <c r="M144" s="3" t="s">
        <v>370</v>
      </c>
      <c r="N144" s="3">
        <v>14</v>
      </c>
      <c r="O144" s="3">
        <v>0</v>
      </c>
      <c r="P144" s="3">
        <v>5267.23</v>
      </c>
      <c r="Q144" s="3">
        <v>833.16</v>
      </c>
    </row>
    <row r="145" spans="1:17" x14ac:dyDescent="0.3">
      <c r="A145" s="3">
        <v>144</v>
      </c>
      <c r="B145" s="3" t="s">
        <v>384</v>
      </c>
      <c r="C145" s="3" t="s">
        <v>1105</v>
      </c>
      <c r="D145" s="3" t="s">
        <v>1196</v>
      </c>
      <c r="E145" s="3" t="s">
        <v>19</v>
      </c>
      <c r="F145" s="3" t="s">
        <v>385</v>
      </c>
      <c r="G145" s="3" t="s">
        <v>39</v>
      </c>
      <c r="H145" s="3" t="s">
        <v>90</v>
      </c>
      <c r="I145" s="3" t="s">
        <v>104</v>
      </c>
      <c r="J145" s="3" t="s">
        <v>105</v>
      </c>
      <c r="K145" s="3" t="s">
        <v>25</v>
      </c>
      <c r="L145" s="3" t="s">
        <v>74</v>
      </c>
      <c r="M145" s="3" t="s">
        <v>101</v>
      </c>
      <c r="N145" s="3">
        <v>8</v>
      </c>
      <c r="O145" s="3">
        <v>0.15</v>
      </c>
      <c r="P145" s="3">
        <v>621.79</v>
      </c>
      <c r="Q145" s="3">
        <v>114.39</v>
      </c>
    </row>
    <row r="146" spans="1:17" x14ac:dyDescent="0.3">
      <c r="A146" s="3">
        <v>145</v>
      </c>
      <c r="B146" s="3" t="s">
        <v>386</v>
      </c>
      <c r="C146" s="3" t="s">
        <v>1197</v>
      </c>
      <c r="D146" s="3" t="s">
        <v>1020</v>
      </c>
      <c r="E146" s="3" t="s">
        <v>56</v>
      </c>
      <c r="F146" s="3" t="s">
        <v>387</v>
      </c>
      <c r="G146" s="3" t="s">
        <v>39</v>
      </c>
      <c r="H146" s="3" t="s">
        <v>22</v>
      </c>
      <c r="I146" s="3" t="s">
        <v>23</v>
      </c>
      <c r="J146" s="3" t="s">
        <v>24</v>
      </c>
      <c r="K146" s="3" t="s">
        <v>25</v>
      </c>
      <c r="L146" s="3" t="s">
        <v>53</v>
      </c>
      <c r="M146" s="3" t="s">
        <v>139</v>
      </c>
      <c r="N146" s="3">
        <v>2</v>
      </c>
      <c r="O146" s="3">
        <v>0.4</v>
      </c>
      <c r="P146" s="3">
        <v>208.32</v>
      </c>
      <c r="Q146" s="3">
        <v>-48.11</v>
      </c>
    </row>
    <row r="147" spans="1:17" x14ac:dyDescent="0.3">
      <c r="A147" s="3">
        <v>146</v>
      </c>
      <c r="B147" s="3" t="s">
        <v>388</v>
      </c>
      <c r="C147" s="3" t="s">
        <v>1198</v>
      </c>
      <c r="D147" s="3" t="s">
        <v>1199</v>
      </c>
      <c r="E147" s="3" t="s">
        <v>56</v>
      </c>
      <c r="F147" s="3" t="s">
        <v>389</v>
      </c>
      <c r="G147" s="3" t="s">
        <v>39</v>
      </c>
      <c r="H147" s="3" t="s">
        <v>46</v>
      </c>
      <c r="I147" s="3" t="s">
        <v>146</v>
      </c>
      <c r="J147" s="3" t="s">
        <v>147</v>
      </c>
      <c r="K147" s="3" t="s">
        <v>25</v>
      </c>
      <c r="L147" s="3" t="s">
        <v>74</v>
      </c>
      <c r="M147" s="3" t="s">
        <v>180</v>
      </c>
      <c r="N147" s="3">
        <v>11</v>
      </c>
      <c r="O147" s="3">
        <v>0</v>
      </c>
      <c r="P147" s="3">
        <v>1157.17</v>
      </c>
      <c r="Q147" s="3">
        <v>164.46</v>
      </c>
    </row>
    <row r="148" spans="1:17" x14ac:dyDescent="0.3">
      <c r="A148" s="3">
        <v>147</v>
      </c>
      <c r="B148" s="3" t="s">
        <v>390</v>
      </c>
      <c r="C148" s="3" t="s">
        <v>1200</v>
      </c>
      <c r="D148" s="3" t="s">
        <v>1201</v>
      </c>
      <c r="E148" s="3" t="s">
        <v>37</v>
      </c>
      <c r="F148" s="3" t="s">
        <v>391</v>
      </c>
      <c r="G148" s="3" t="s">
        <v>21</v>
      </c>
      <c r="H148" s="3" t="s">
        <v>40</v>
      </c>
      <c r="I148" s="3" t="s">
        <v>114</v>
      </c>
      <c r="J148" s="3" t="s">
        <v>115</v>
      </c>
      <c r="K148" s="3" t="s">
        <v>58</v>
      </c>
      <c r="L148" s="3" t="s">
        <v>59</v>
      </c>
      <c r="M148" s="3" t="s">
        <v>220</v>
      </c>
      <c r="N148" s="3">
        <v>12</v>
      </c>
      <c r="O148" s="3">
        <v>0.3</v>
      </c>
      <c r="P148" s="3">
        <v>3121.91</v>
      </c>
      <c r="Q148" s="3">
        <v>761.8</v>
      </c>
    </row>
    <row r="149" spans="1:17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3">
      <c r="A150" s="3">
        <v>148</v>
      </c>
      <c r="B150" s="3" t="s">
        <v>392</v>
      </c>
      <c r="C150" s="3" t="s">
        <v>1202</v>
      </c>
      <c r="D150" s="3" t="s">
        <v>1203</v>
      </c>
      <c r="E150" s="3" t="s">
        <v>56</v>
      </c>
      <c r="F150" s="3" t="s">
        <v>77</v>
      </c>
      <c r="G150" s="3" t="s">
        <v>30</v>
      </c>
      <c r="H150" s="3" t="s">
        <v>40</v>
      </c>
      <c r="I150" s="3" t="s">
        <v>158</v>
      </c>
      <c r="J150" s="3" t="s">
        <v>159</v>
      </c>
      <c r="K150" s="3" t="s">
        <v>33</v>
      </c>
      <c r="L150" s="3" t="s">
        <v>34</v>
      </c>
      <c r="M150" s="3" t="s">
        <v>43</v>
      </c>
      <c r="N150" s="3">
        <v>2</v>
      </c>
      <c r="O150" s="3">
        <v>0</v>
      </c>
      <c r="P150" s="3">
        <v>186.21</v>
      </c>
      <c r="Q150" s="3">
        <v>3.33</v>
      </c>
    </row>
    <row r="151" spans="1:17" x14ac:dyDescent="0.3">
      <c r="A151" s="3">
        <v>149</v>
      </c>
      <c r="B151" s="3" t="s">
        <v>393</v>
      </c>
      <c r="C151" s="3" t="s">
        <v>1204</v>
      </c>
      <c r="D151" s="3" t="s">
        <v>1175</v>
      </c>
      <c r="E151" s="3" t="s">
        <v>19</v>
      </c>
      <c r="F151" s="3" t="s">
        <v>317</v>
      </c>
      <c r="G151" s="3" t="s">
        <v>21</v>
      </c>
      <c r="H151" s="3" t="s">
        <v>40</v>
      </c>
      <c r="I151" s="3" t="s">
        <v>223</v>
      </c>
      <c r="J151" s="3" t="s">
        <v>224</v>
      </c>
      <c r="K151" s="3" t="s">
        <v>33</v>
      </c>
      <c r="L151" s="3" t="s">
        <v>49</v>
      </c>
      <c r="M151" s="3" t="s">
        <v>208</v>
      </c>
      <c r="N151" s="3">
        <v>4</v>
      </c>
      <c r="O151" s="3">
        <v>0.2</v>
      </c>
      <c r="P151" s="3">
        <v>2164.4699999999998</v>
      </c>
      <c r="Q151" s="3">
        <v>208.84</v>
      </c>
    </row>
    <row r="152" spans="1:17" x14ac:dyDescent="0.3">
      <c r="A152" s="3">
        <v>150</v>
      </c>
      <c r="B152" s="3" t="s">
        <v>394</v>
      </c>
      <c r="C152" s="3" t="s">
        <v>1205</v>
      </c>
      <c r="D152" s="3" t="s">
        <v>1206</v>
      </c>
      <c r="E152" s="3" t="s">
        <v>56</v>
      </c>
      <c r="F152" s="3" t="s">
        <v>395</v>
      </c>
      <c r="G152" s="3" t="s">
        <v>39</v>
      </c>
      <c r="H152" s="3" t="s">
        <v>90</v>
      </c>
      <c r="I152" s="3" t="s">
        <v>99</v>
      </c>
      <c r="J152" s="3" t="s">
        <v>100</v>
      </c>
      <c r="K152" s="3" t="s">
        <v>25</v>
      </c>
      <c r="L152" s="3" t="s">
        <v>80</v>
      </c>
      <c r="M152" s="3" t="s">
        <v>81</v>
      </c>
      <c r="N152" s="3">
        <v>7</v>
      </c>
      <c r="O152" s="3">
        <v>0</v>
      </c>
      <c r="P152" s="3">
        <v>473.13</v>
      </c>
      <c r="Q152" s="3">
        <v>157.72999999999999</v>
      </c>
    </row>
    <row r="153" spans="1:17" x14ac:dyDescent="0.3">
      <c r="A153" s="3">
        <v>151</v>
      </c>
      <c r="B153" s="3" t="s">
        <v>396</v>
      </c>
      <c r="C153" s="3" t="s">
        <v>1207</v>
      </c>
      <c r="D153" s="3" t="s">
        <v>1193</v>
      </c>
      <c r="E153" s="3" t="s">
        <v>19</v>
      </c>
      <c r="F153" s="3" t="s">
        <v>130</v>
      </c>
      <c r="G153" s="3" t="s">
        <v>30</v>
      </c>
      <c r="H153" s="3" t="s">
        <v>90</v>
      </c>
      <c r="I153" s="3" t="s">
        <v>104</v>
      </c>
      <c r="J153" s="3" t="s">
        <v>105</v>
      </c>
      <c r="K153" s="3" t="s">
        <v>25</v>
      </c>
      <c r="L153" s="3" t="s">
        <v>26</v>
      </c>
      <c r="M153" s="3" t="s">
        <v>155</v>
      </c>
      <c r="N153" s="3">
        <v>14</v>
      </c>
      <c r="O153" s="3">
        <v>0</v>
      </c>
      <c r="P153" s="3">
        <v>400.27</v>
      </c>
      <c r="Q153" s="3">
        <v>93.45</v>
      </c>
    </row>
    <row r="154" spans="1:17" x14ac:dyDescent="0.3">
      <c r="A154" s="3">
        <v>152</v>
      </c>
      <c r="B154" s="3" t="s">
        <v>397</v>
      </c>
      <c r="C154" s="3" t="s">
        <v>1208</v>
      </c>
      <c r="D154" s="3" t="s">
        <v>1209</v>
      </c>
      <c r="E154" s="3" t="s">
        <v>62</v>
      </c>
      <c r="F154" s="3" t="s">
        <v>355</v>
      </c>
      <c r="G154" s="3" t="s">
        <v>21</v>
      </c>
      <c r="H154" s="3" t="s">
        <v>90</v>
      </c>
      <c r="I154" s="3" t="s">
        <v>104</v>
      </c>
      <c r="J154" s="3" t="s">
        <v>105</v>
      </c>
      <c r="K154" s="3" t="s">
        <v>25</v>
      </c>
      <c r="L154" s="3" t="s">
        <v>106</v>
      </c>
      <c r="M154" s="3" t="s">
        <v>136</v>
      </c>
      <c r="N154" s="3">
        <v>14</v>
      </c>
      <c r="O154" s="3">
        <v>0.1</v>
      </c>
      <c r="P154" s="3">
        <v>621.79</v>
      </c>
      <c r="Q154" s="3">
        <v>-136.22</v>
      </c>
    </row>
    <row r="155" spans="1:17" x14ac:dyDescent="0.3">
      <c r="A155" s="3">
        <v>153</v>
      </c>
      <c r="B155" s="3" t="s">
        <v>398</v>
      </c>
      <c r="C155" s="3" t="s">
        <v>1210</v>
      </c>
      <c r="D155" s="3" t="s">
        <v>1211</v>
      </c>
      <c r="E155" s="3" t="s">
        <v>62</v>
      </c>
      <c r="F155" s="3" t="s">
        <v>399</v>
      </c>
      <c r="G155" s="3" t="s">
        <v>39</v>
      </c>
      <c r="H155" s="3" t="s">
        <v>40</v>
      </c>
      <c r="I155" s="3" t="s">
        <v>223</v>
      </c>
      <c r="J155" s="3" t="s">
        <v>224</v>
      </c>
      <c r="K155" s="3" t="s">
        <v>25</v>
      </c>
      <c r="L155" s="3" t="s">
        <v>80</v>
      </c>
      <c r="M155" s="3" t="s">
        <v>81</v>
      </c>
      <c r="N155" s="3">
        <v>14</v>
      </c>
      <c r="O155" s="3">
        <v>0.15</v>
      </c>
      <c r="P155" s="3">
        <v>1457.73</v>
      </c>
      <c r="Q155" s="3">
        <v>472.61</v>
      </c>
    </row>
    <row r="156" spans="1:17" x14ac:dyDescent="0.3">
      <c r="A156" s="3">
        <v>154</v>
      </c>
      <c r="B156" s="3" t="s">
        <v>400</v>
      </c>
      <c r="C156" s="3" t="s">
        <v>1212</v>
      </c>
      <c r="D156" s="3" t="s">
        <v>1213</v>
      </c>
      <c r="E156" s="3" t="s">
        <v>56</v>
      </c>
      <c r="F156" s="3" t="s">
        <v>401</v>
      </c>
      <c r="G156" s="3" t="s">
        <v>30</v>
      </c>
      <c r="H156" s="3" t="s">
        <v>90</v>
      </c>
      <c r="I156" s="3" t="s">
        <v>104</v>
      </c>
      <c r="J156" s="3" t="s">
        <v>105</v>
      </c>
      <c r="K156" s="3" t="s">
        <v>25</v>
      </c>
      <c r="L156" s="3" t="s">
        <v>53</v>
      </c>
      <c r="M156" s="3" t="s">
        <v>139</v>
      </c>
      <c r="N156" s="3">
        <v>9</v>
      </c>
      <c r="O156" s="3">
        <v>0.15</v>
      </c>
      <c r="P156" s="3">
        <v>343.38</v>
      </c>
      <c r="Q156" s="3">
        <v>-7.42</v>
      </c>
    </row>
    <row r="157" spans="1:17" x14ac:dyDescent="0.3">
      <c r="A157" s="3">
        <v>155</v>
      </c>
      <c r="B157" s="3" t="s">
        <v>402</v>
      </c>
      <c r="C157" s="3" t="s">
        <v>1214</v>
      </c>
      <c r="D157" s="3" t="s">
        <v>1215</v>
      </c>
      <c r="E157" s="3" t="s">
        <v>56</v>
      </c>
      <c r="F157" s="3" t="s">
        <v>403</v>
      </c>
      <c r="G157" s="3" t="s">
        <v>39</v>
      </c>
      <c r="H157" s="3" t="s">
        <v>90</v>
      </c>
      <c r="I157" s="3" t="s">
        <v>169</v>
      </c>
      <c r="J157" s="3" t="s">
        <v>170</v>
      </c>
      <c r="K157" s="3" t="s">
        <v>58</v>
      </c>
      <c r="L157" s="3" t="s">
        <v>217</v>
      </c>
      <c r="M157" s="3" t="s">
        <v>218</v>
      </c>
      <c r="N157" s="3">
        <v>6</v>
      </c>
      <c r="O157" s="3">
        <v>0.1</v>
      </c>
      <c r="P157" s="3">
        <v>1306.8599999999999</v>
      </c>
      <c r="Q157" s="3">
        <v>254.51</v>
      </c>
    </row>
    <row r="158" spans="1:17" x14ac:dyDescent="0.3">
      <c r="A158" s="3">
        <v>156</v>
      </c>
      <c r="B158" s="3" t="s">
        <v>404</v>
      </c>
      <c r="C158" s="3" t="s">
        <v>1216</v>
      </c>
      <c r="D158" s="3" t="s">
        <v>1217</v>
      </c>
      <c r="E158" s="3" t="s">
        <v>37</v>
      </c>
      <c r="F158" s="3" t="s">
        <v>268</v>
      </c>
      <c r="G158" s="3" t="s">
        <v>21</v>
      </c>
      <c r="H158" s="3" t="s">
        <v>46</v>
      </c>
      <c r="I158" s="3" t="s">
        <v>78</v>
      </c>
      <c r="J158" s="3" t="s">
        <v>79</v>
      </c>
      <c r="K158" s="3" t="s">
        <v>33</v>
      </c>
      <c r="L158" s="3" t="s">
        <v>95</v>
      </c>
      <c r="M158" s="3" t="s">
        <v>120</v>
      </c>
      <c r="N158" s="3">
        <v>4</v>
      </c>
      <c r="O158" s="3">
        <v>0.2</v>
      </c>
      <c r="P158" s="3">
        <v>1361.23</v>
      </c>
      <c r="Q158" s="3">
        <v>-130.13999999999999</v>
      </c>
    </row>
    <row r="159" spans="1:17" x14ac:dyDescent="0.3">
      <c r="A159" s="3">
        <v>157</v>
      </c>
      <c r="B159" s="3" t="s">
        <v>405</v>
      </c>
      <c r="C159" s="3" t="s">
        <v>965</v>
      </c>
      <c r="D159" s="3" t="s">
        <v>1218</v>
      </c>
      <c r="E159" s="3" t="s">
        <v>19</v>
      </c>
      <c r="F159" s="3" t="s">
        <v>313</v>
      </c>
      <c r="G159" s="3" t="s">
        <v>21</v>
      </c>
      <c r="H159" s="3" t="s">
        <v>40</v>
      </c>
      <c r="I159" s="3" t="s">
        <v>114</v>
      </c>
      <c r="J159" s="3" t="s">
        <v>115</v>
      </c>
      <c r="K159" s="3" t="s">
        <v>25</v>
      </c>
      <c r="L159" s="3" t="s">
        <v>74</v>
      </c>
      <c r="M159" s="3" t="s">
        <v>75</v>
      </c>
      <c r="N159" s="3">
        <v>1</v>
      </c>
      <c r="O159" s="3">
        <v>0</v>
      </c>
      <c r="P159" s="3">
        <v>63.83</v>
      </c>
      <c r="Q159" s="3">
        <v>20.239999999999998</v>
      </c>
    </row>
    <row r="160" spans="1:17" x14ac:dyDescent="0.3">
      <c r="A160" s="3">
        <v>158</v>
      </c>
      <c r="B160" s="3" t="s">
        <v>406</v>
      </c>
      <c r="C160" s="3" t="s">
        <v>1196</v>
      </c>
      <c r="D160" s="3" t="s">
        <v>1126</v>
      </c>
      <c r="E160" s="3" t="s">
        <v>56</v>
      </c>
      <c r="F160" s="3" t="s">
        <v>369</v>
      </c>
      <c r="G160" s="3" t="s">
        <v>39</v>
      </c>
      <c r="H160" s="3" t="s">
        <v>22</v>
      </c>
      <c r="I160" s="3" t="s">
        <v>68</v>
      </c>
      <c r="J160" s="3" t="s">
        <v>69</v>
      </c>
      <c r="K160" s="3" t="s">
        <v>33</v>
      </c>
      <c r="L160" s="3" t="s">
        <v>34</v>
      </c>
      <c r="M160" s="3" t="s">
        <v>254</v>
      </c>
      <c r="N160" s="3">
        <v>11</v>
      </c>
      <c r="O160" s="3">
        <v>0.4</v>
      </c>
      <c r="P160" s="3">
        <v>4598.58</v>
      </c>
      <c r="Q160" s="3">
        <v>669.42</v>
      </c>
    </row>
    <row r="161" spans="1:17" x14ac:dyDescent="0.3">
      <c r="A161" s="3">
        <v>159</v>
      </c>
      <c r="B161" s="3" t="s">
        <v>407</v>
      </c>
      <c r="C161" s="3" t="s">
        <v>1219</v>
      </c>
      <c r="D161" s="3" t="s">
        <v>1220</v>
      </c>
      <c r="E161" s="3" t="s">
        <v>19</v>
      </c>
      <c r="F161" s="3" t="s">
        <v>408</v>
      </c>
      <c r="G161" s="3" t="s">
        <v>39</v>
      </c>
      <c r="H161" s="3" t="s">
        <v>22</v>
      </c>
      <c r="I161" s="3" t="s">
        <v>23</v>
      </c>
      <c r="J161" s="3" t="s">
        <v>24</v>
      </c>
      <c r="K161" s="3" t="s">
        <v>25</v>
      </c>
      <c r="L161" s="3" t="s">
        <v>106</v>
      </c>
      <c r="M161" s="3" t="s">
        <v>136</v>
      </c>
      <c r="N161" s="3">
        <v>9</v>
      </c>
      <c r="O161" s="3">
        <v>0.3</v>
      </c>
      <c r="P161" s="3">
        <v>802.23</v>
      </c>
      <c r="Q161" s="3">
        <v>187.48</v>
      </c>
    </row>
    <row r="162" spans="1:17" x14ac:dyDescent="0.3">
      <c r="A162" s="3">
        <v>160</v>
      </c>
      <c r="B162" s="3" t="s">
        <v>1221</v>
      </c>
      <c r="C162" s="3" t="s">
        <v>1222</v>
      </c>
      <c r="D162" s="3" t="s">
        <v>1223</v>
      </c>
      <c r="E162" s="3" t="s">
        <v>62</v>
      </c>
      <c r="F162" s="3" t="s">
        <v>317</v>
      </c>
      <c r="G162" s="3" t="s">
        <v>39</v>
      </c>
      <c r="H162" s="3" t="s">
        <v>40</v>
      </c>
      <c r="I162" s="3" t="s">
        <v>114</v>
      </c>
      <c r="J162" s="3" t="s">
        <v>115</v>
      </c>
      <c r="K162" s="3" t="s">
        <v>25</v>
      </c>
      <c r="L162" s="3" t="s">
        <v>106</v>
      </c>
      <c r="M162" s="3" t="s">
        <v>107</v>
      </c>
      <c r="N162" s="3">
        <v>7</v>
      </c>
      <c r="O162" s="3">
        <v>0.3</v>
      </c>
      <c r="P162" s="3">
        <v>72.14</v>
      </c>
      <c r="Q162" s="3">
        <v>1.83</v>
      </c>
    </row>
    <row r="163" spans="1:17" x14ac:dyDescent="0.3">
      <c r="A163" s="3">
        <v>161</v>
      </c>
      <c r="B163" s="3" t="s">
        <v>409</v>
      </c>
      <c r="C163" s="3" t="s">
        <v>1224</v>
      </c>
      <c r="D163" s="3" t="s">
        <v>1225</v>
      </c>
      <c r="E163" s="3" t="s">
        <v>62</v>
      </c>
      <c r="F163" s="3" t="s">
        <v>410</v>
      </c>
      <c r="G163" s="3" t="s">
        <v>21</v>
      </c>
      <c r="H163" s="3" t="s">
        <v>22</v>
      </c>
      <c r="I163" s="3" t="s">
        <v>23</v>
      </c>
      <c r="J163" s="3" t="s">
        <v>24</v>
      </c>
      <c r="K163" s="3" t="s">
        <v>25</v>
      </c>
      <c r="L163" s="3" t="s">
        <v>74</v>
      </c>
      <c r="M163" s="3" t="s">
        <v>101</v>
      </c>
      <c r="N163" s="3">
        <v>11</v>
      </c>
      <c r="O163" s="3">
        <v>0</v>
      </c>
      <c r="P163" s="3">
        <v>34.270000000000003</v>
      </c>
      <c r="Q163" s="3">
        <v>-6.87</v>
      </c>
    </row>
    <row r="164" spans="1:17" x14ac:dyDescent="0.3">
      <c r="A164" s="3">
        <v>162</v>
      </c>
      <c r="B164" s="3" t="s">
        <v>411</v>
      </c>
      <c r="C164" s="3" t="s">
        <v>1226</v>
      </c>
      <c r="D164" s="3" t="s">
        <v>1227</v>
      </c>
      <c r="E164" s="3" t="s">
        <v>19</v>
      </c>
      <c r="F164" s="3" t="s">
        <v>412</v>
      </c>
      <c r="G164" s="3" t="s">
        <v>39</v>
      </c>
      <c r="H164" s="3" t="s">
        <v>40</v>
      </c>
      <c r="I164" s="3" t="s">
        <v>114</v>
      </c>
      <c r="J164" s="3" t="s">
        <v>115</v>
      </c>
      <c r="K164" s="3" t="s">
        <v>58</v>
      </c>
      <c r="L164" s="3" t="s">
        <v>217</v>
      </c>
      <c r="M164" s="3" t="s">
        <v>218</v>
      </c>
      <c r="N164" s="3">
        <v>11</v>
      </c>
      <c r="O164" s="3">
        <v>0</v>
      </c>
      <c r="P164" s="3">
        <v>5115.2700000000004</v>
      </c>
      <c r="Q164" s="3">
        <v>-728.35</v>
      </c>
    </row>
    <row r="165" spans="1:17" x14ac:dyDescent="0.3">
      <c r="A165" s="3">
        <v>163</v>
      </c>
      <c r="B165" s="3" t="s">
        <v>413</v>
      </c>
      <c r="C165" s="3" t="s">
        <v>1228</v>
      </c>
      <c r="D165" s="3" t="s">
        <v>1229</v>
      </c>
      <c r="E165" s="3" t="s">
        <v>37</v>
      </c>
      <c r="F165" s="3" t="s">
        <v>383</v>
      </c>
      <c r="G165" s="3" t="s">
        <v>39</v>
      </c>
      <c r="H165" s="3" t="s">
        <v>90</v>
      </c>
      <c r="I165" s="3" t="s">
        <v>169</v>
      </c>
      <c r="J165" s="3" t="s">
        <v>170</v>
      </c>
      <c r="K165" s="3" t="s">
        <v>25</v>
      </c>
      <c r="L165" s="3" t="s">
        <v>80</v>
      </c>
      <c r="M165" s="3" t="s">
        <v>81</v>
      </c>
      <c r="N165" s="3">
        <v>14</v>
      </c>
      <c r="O165" s="3">
        <v>0.2</v>
      </c>
      <c r="P165" s="3">
        <v>630.63</v>
      </c>
      <c r="Q165" s="3">
        <v>-12.42</v>
      </c>
    </row>
    <row r="166" spans="1:17" x14ac:dyDescent="0.3">
      <c r="A166" s="3">
        <v>164</v>
      </c>
      <c r="B166" s="3" t="s">
        <v>414</v>
      </c>
      <c r="C166" s="3" t="s">
        <v>1230</v>
      </c>
      <c r="D166" s="3" t="s">
        <v>1231</v>
      </c>
      <c r="E166" s="3" t="s">
        <v>56</v>
      </c>
      <c r="F166" s="3" t="s">
        <v>415</v>
      </c>
      <c r="G166" s="3" t="s">
        <v>30</v>
      </c>
      <c r="H166" s="3" t="s">
        <v>22</v>
      </c>
      <c r="I166" s="3" t="s">
        <v>23</v>
      </c>
      <c r="J166" s="3" t="s">
        <v>24</v>
      </c>
      <c r="K166" s="3" t="s">
        <v>25</v>
      </c>
      <c r="L166" s="3" t="s">
        <v>116</v>
      </c>
      <c r="M166" s="3" t="s">
        <v>166</v>
      </c>
      <c r="N166" s="3">
        <v>10</v>
      </c>
      <c r="O166" s="3">
        <v>0.3</v>
      </c>
      <c r="P166" s="3">
        <v>1043.53</v>
      </c>
      <c r="Q166" s="3">
        <v>345.78</v>
      </c>
    </row>
    <row r="167" spans="1:17" x14ac:dyDescent="0.3">
      <c r="A167" s="3">
        <v>165</v>
      </c>
      <c r="B167" s="3" t="s">
        <v>416</v>
      </c>
      <c r="C167" s="3" t="s">
        <v>1232</v>
      </c>
      <c r="D167" s="3" t="s">
        <v>1136</v>
      </c>
      <c r="E167" s="3" t="s">
        <v>37</v>
      </c>
      <c r="F167" s="3" t="s">
        <v>417</v>
      </c>
      <c r="G167" s="3" t="s">
        <v>21</v>
      </c>
      <c r="H167" s="3" t="s">
        <v>40</v>
      </c>
      <c r="I167" s="3" t="s">
        <v>41</v>
      </c>
      <c r="J167" s="3" t="s">
        <v>42</v>
      </c>
      <c r="K167" s="3" t="s">
        <v>25</v>
      </c>
      <c r="L167" s="3" t="s">
        <v>74</v>
      </c>
      <c r="M167" s="3" t="s">
        <v>180</v>
      </c>
      <c r="N167" s="3">
        <v>10</v>
      </c>
      <c r="O167" s="3">
        <v>0</v>
      </c>
      <c r="P167" s="3">
        <v>799.59</v>
      </c>
      <c r="Q167" s="3">
        <v>170.55</v>
      </c>
    </row>
    <row r="168" spans="1:17" x14ac:dyDescent="0.3">
      <c r="A168" s="3">
        <v>166</v>
      </c>
      <c r="B168" s="3" t="s">
        <v>418</v>
      </c>
      <c r="C168" s="3" t="s">
        <v>1233</v>
      </c>
      <c r="D168" s="3" t="s">
        <v>1234</v>
      </c>
      <c r="E168" s="3" t="s">
        <v>19</v>
      </c>
      <c r="F168" s="3" t="s">
        <v>419</v>
      </c>
      <c r="G168" s="3" t="s">
        <v>21</v>
      </c>
      <c r="H168" s="3" t="s">
        <v>40</v>
      </c>
      <c r="I168" s="3" t="s">
        <v>185</v>
      </c>
      <c r="J168" s="3" t="s">
        <v>186</v>
      </c>
      <c r="K168" s="3" t="s">
        <v>25</v>
      </c>
      <c r="L168" s="3" t="s">
        <v>53</v>
      </c>
      <c r="M168" s="3" t="s">
        <v>139</v>
      </c>
      <c r="N168" s="3">
        <v>6</v>
      </c>
      <c r="O168" s="3">
        <v>0</v>
      </c>
      <c r="P168" s="3">
        <v>87.44</v>
      </c>
      <c r="Q168" s="3">
        <v>27.61</v>
      </c>
    </row>
    <row r="169" spans="1:17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x14ac:dyDescent="0.3">
      <c r="A170" s="3">
        <v>167</v>
      </c>
      <c r="B170" s="3" t="s">
        <v>1235</v>
      </c>
      <c r="C170" s="3" t="s">
        <v>1236</v>
      </c>
      <c r="D170" s="3" t="s">
        <v>1237</v>
      </c>
      <c r="E170" s="3" t="s">
        <v>56</v>
      </c>
      <c r="F170" s="3" t="s">
        <v>1238</v>
      </c>
      <c r="G170" s="3" t="s">
        <v>30</v>
      </c>
      <c r="H170" s="3" t="s">
        <v>22</v>
      </c>
      <c r="I170" s="3" t="s">
        <v>68</v>
      </c>
      <c r="J170" s="3" t="s">
        <v>69</v>
      </c>
      <c r="K170" s="3" t="s">
        <v>25</v>
      </c>
      <c r="L170" s="3" t="s">
        <v>80</v>
      </c>
      <c r="M170" s="3" t="s">
        <v>150</v>
      </c>
      <c r="N170" s="3">
        <v>2</v>
      </c>
      <c r="O170" s="3">
        <v>0</v>
      </c>
      <c r="P170" s="3">
        <v>87.52</v>
      </c>
      <c r="Q170" s="3">
        <v>9.4700000000000006</v>
      </c>
    </row>
    <row r="171" spans="1:17" x14ac:dyDescent="0.3">
      <c r="A171" s="3">
        <v>168</v>
      </c>
      <c r="B171" s="3" t="s">
        <v>420</v>
      </c>
      <c r="C171" s="3" t="s">
        <v>1239</v>
      </c>
      <c r="D171" s="3" t="s">
        <v>1240</v>
      </c>
      <c r="E171" s="3" t="s">
        <v>62</v>
      </c>
      <c r="F171" s="3" t="s">
        <v>421</v>
      </c>
      <c r="G171" s="3" t="s">
        <v>21</v>
      </c>
      <c r="H171" s="3" t="s">
        <v>90</v>
      </c>
      <c r="I171" s="3" t="s">
        <v>169</v>
      </c>
      <c r="J171" s="3" t="s">
        <v>170</v>
      </c>
      <c r="K171" s="3" t="s">
        <v>25</v>
      </c>
      <c r="L171" s="3" t="s">
        <v>80</v>
      </c>
      <c r="M171" s="3" t="s">
        <v>81</v>
      </c>
      <c r="N171" s="3">
        <v>3</v>
      </c>
      <c r="O171" s="3">
        <v>0</v>
      </c>
      <c r="P171" s="3">
        <v>248.6</v>
      </c>
      <c r="Q171" s="3">
        <v>-41.44</v>
      </c>
    </row>
    <row r="172" spans="1:17" x14ac:dyDescent="0.3">
      <c r="A172" s="3">
        <v>169</v>
      </c>
      <c r="B172" s="3" t="s">
        <v>422</v>
      </c>
      <c r="C172" s="3" t="s">
        <v>1241</v>
      </c>
      <c r="D172" s="3" t="s">
        <v>1242</v>
      </c>
      <c r="E172" s="3" t="s">
        <v>37</v>
      </c>
      <c r="F172" s="3" t="s">
        <v>423</v>
      </c>
      <c r="G172" s="3" t="s">
        <v>21</v>
      </c>
      <c r="H172" s="3" t="s">
        <v>40</v>
      </c>
      <c r="I172" s="3" t="s">
        <v>185</v>
      </c>
      <c r="J172" s="3" t="s">
        <v>186</v>
      </c>
      <c r="K172" s="3" t="s">
        <v>25</v>
      </c>
      <c r="L172" s="3" t="s">
        <v>106</v>
      </c>
      <c r="M172" s="3" t="s">
        <v>107</v>
      </c>
      <c r="N172" s="3">
        <v>5</v>
      </c>
      <c r="O172" s="3">
        <v>0.4</v>
      </c>
      <c r="P172" s="3">
        <v>499.04</v>
      </c>
      <c r="Q172" s="3">
        <v>53.04</v>
      </c>
    </row>
    <row r="173" spans="1:17" x14ac:dyDescent="0.3">
      <c r="A173" s="3">
        <v>170</v>
      </c>
      <c r="B173" s="3" t="s">
        <v>424</v>
      </c>
      <c r="C173" s="3" t="s">
        <v>1243</v>
      </c>
      <c r="D173" s="3" t="s">
        <v>1244</v>
      </c>
      <c r="E173" s="3" t="s">
        <v>56</v>
      </c>
      <c r="F173" s="3" t="s">
        <v>425</v>
      </c>
      <c r="G173" s="3" t="s">
        <v>21</v>
      </c>
      <c r="H173" s="3" t="s">
        <v>22</v>
      </c>
      <c r="I173" s="3" t="s">
        <v>84</v>
      </c>
      <c r="J173" s="3" t="s">
        <v>85</v>
      </c>
      <c r="K173" s="3" t="s">
        <v>25</v>
      </c>
      <c r="L173" s="3" t="s">
        <v>80</v>
      </c>
      <c r="M173" s="3" t="s">
        <v>150</v>
      </c>
      <c r="N173" s="3">
        <v>6</v>
      </c>
      <c r="O173" s="3">
        <v>0</v>
      </c>
      <c r="P173" s="3">
        <v>316.88</v>
      </c>
      <c r="Q173" s="3">
        <v>-22.1</v>
      </c>
    </row>
    <row r="174" spans="1:17" x14ac:dyDescent="0.3">
      <c r="A174" s="3">
        <v>171</v>
      </c>
      <c r="B174" s="3" t="s">
        <v>426</v>
      </c>
      <c r="C174" s="3" t="s">
        <v>1245</v>
      </c>
      <c r="D174" s="3" t="s">
        <v>1246</v>
      </c>
      <c r="E174" s="3" t="s">
        <v>19</v>
      </c>
      <c r="F174" s="3" t="s">
        <v>427</v>
      </c>
      <c r="G174" s="3" t="s">
        <v>39</v>
      </c>
      <c r="H174" s="3" t="s">
        <v>46</v>
      </c>
      <c r="I174" s="3" t="s">
        <v>281</v>
      </c>
      <c r="J174" s="3" t="s">
        <v>282</v>
      </c>
      <c r="K174" s="3" t="s">
        <v>25</v>
      </c>
      <c r="L174" s="3" t="s">
        <v>53</v>
      </c>
      <c r="M174" s="3" t="s">
        <v>54</v>
      </c>
      <c r="N174" s="3">
        <v>4</v>
      </c>
      <c r="O174" s="3">
        <v>0.15</v>
      </c>
      <c r="P174" s="3">
        <v>154.54</v>
      </c>
      <c r="Q174" s="3">
        <v>37.07</v>
      </c>
    </row>
    <row r="175" spans="1:17" x14ac:dyDescent="0.3">
      <c r="A175" s="3">
        <v>172</v>
      </c>
      <c r="B175" s="3" t="s">
        <v>428</v>
      </c>
      <c r="C175" s="3" t="s">
        <v>1247</v>
      </c>
      <c r="D175" s="3" t="s">
        <v>1248</v>
      </c>
      <c r="E175" s="3" t="s">
        <v>37</v>
      </c>
      <c r="F175" s="3" t="s">
        <v>429</v>
      </c>
      <c r="G175" s="3" t="s">
        <v>39</v>
      </c>
      <c r="H175" s="3" t="s">
        <v>40</v>
      </c>
      <c r="I175" s="3" t="s">
        <v>223</v>
      </c>
      <c r="J175" s="3" t="s">
        <v>224</v>
      </c>
      <c r="K175" s="3" t="s">
        <v>33</v>
      </c>
      <c r="L175" s="3" t="s">
        <v>34</v>
      </c>
      <c r="M175" s="3" t="s">
        <v>35</v>
      </c>
      <c r="N175" s="3">
        <v>5</v>
      </c>
      <c r="O175" s="3">
        <v>0</v>
      </c>
      <c r="P175" s="3">
        <v>2930.58</v>
      </c>
      <c r="Q175" s="3">
        <v>707.38</v>
      </c>
    </row>
    <row r="176" spans="1:17" x14ac:dyDescent="0.3">
      <c r="A176" s="3">
        <v>173</v>
      </c>
      <c r="B176" s="3" t="s">
        <v>430</v>
      </c>
      <c r="C176" s="3" t="s">
        <v>1249</v>
      </c>
      <c r="D176" s="3" t="s">
        <v>1250</v>
      </c>
      <c r="E176" s="3" t="s">
        <v>62</v>
      </c>
      <c r="F176" s="3" t="s">
        <v>372</v>
      </c>
      <c r="G176" s="3" t="s">
        <v>30</v>
      </c>
      <c r="H176" s="3" t="s">
        <v>40</v>
      </c>
      <c r="I176" s="3" t="s">
        <v>41</v>
      </c>
      <c r="J176" s="3" t="s">
        <v>42</v>
      </c>
      <c r="K176" s="3" t="s">
        <v>25</v>
      </c>
      <c r="L176" s="3" t="s">
        <v>53</v>
      </c>
      <c r="M176" s="3" t="s">
        <v>54</v>
      </c>
      <c r="N176" s="3">
        <v>8</v>
      </c>
      <c r="O176" s="3">
        <v>0.4</v>
      </c>
      <c r="P176" s="3">
        <v>837.07</v>
      </c>
      <c r="Q176" s="3">
        <v>83.16</v>
      </c>
    </row>
    <row r="177" spans="1:17" x14ac:dyDescent="0.3">
      <c r="A177" s="3">
        <v>174</v>
      </c>
      <c r="B177" s="3" t="s">
        <v>431</v>
      </c>
      <c r="C177" s="3" t="s">
        <v>1251</v>
      </c>
      <c r="D177" s="3" t="s">
        <v>1252</v>
      </c>
      <c r="E177" s="3" t="s">
        <v>62</v>
      </c>
      <c r="F177" s="3" t="s">
        <v>253</v>
      </c>
      <c r="G177" s="3" t="s">
        <v>21</v>
      </c>
      <c r="H177" s="3" t="s">
        <v>22</v>
      </c>
      <c r="I177" s="3" t="s">
        <v>68</v>
      </c>
      <c r="J177" s="3" t="s">
        <v>69</v>
      </c>
      <c r="K177" s="3" t="s">
        <v>25</v>
      </c>
      <c r="L177" s="3" t="s">
        <v>106</v>
      </c>
      <c r="M177" s="3" t="s">
        <v>123</v>
      </c>
      <c r="N177" s="3">
        <v>1</v>
      </c>
      <c r="O177" s="3">
        <v>0.3</v>
      </c>
      <c r="P177" s="3">
        <v>62.3</v>
      </c>
      <c r="Q177" s="3">
        <v>20.56</v>
      </c>
    </row>
    <row r="178" spans="1:17" x14ac:dyDescent="0.3">
      <c r="A178" s="3">
        <v>175</v>
      </c>
      <c r="B178" s="3" t="s">
        <v>432</v>
      </c>
      <c r="C178" s="3" t="s">
        <v>1048</v>
      </c>
      <c r="D178" s="3" t="s">
        <v>1253</v>
      </c>
      <c r="E178" s="3" t="s">
        <v>56</v>
      </c>
      <c r="F178" s="3" t="s">
        <v>222</v>
      </c>
      <c r="G178" s="3" t="s">
        <v>30</v>
      </c>
      <c r="H178" s="3" t="s">
        <v>46</v>
      </c>
      <c r="I178" s="3" t="s">
        <v>78</v>
      </c>
      <c r="J178" s="3" t="s">
        <v>79</v>
      </c>
      <c r="K178" s="3" t="s">
        <v>25</v>
      </c>
      <c r="L178" s="3" t="s">
        <v>80</v>
      </c>
      <c r="M178" s="3" t="s">
        <v>81</v>
      </c>
      <c r="N178" s="3">
        <v>7</v>
      </c>
      <c r="O178" s="3">
        <v>0</v>
      </c>
      <c r="P178" s="3">
        <v>396.49</v>
      </c>
      <c r="Q178" s="3">
        <v>-17.059999999999999</v>
      </c>
    </row>
    <row r="179" spans="1:17" x14ac:dyDescent="0.3">
      <c r="A179" s="3">
        <v>176</v>
      </c>
      <c r="B179" s="3" t="s">
        <v>433</v>
      </c>
      <c r="C179" s="3" t="s">
        <v>1254</v>
      </c>
      <c r="D179" s="3" t="s">
        <v>1255</v>
      </c>
      <c r="E179" s="3" t="s">
        <v>62</v>
      </c>
      <c r="F179" s="3" t="s">
        <v>434</v>
      </c>
      <c r="G179" s="3" t="s">
        <v>30</v>
      </c>
      <c r="H179" s="3" t="s">
        <v>22</v>
      </c>
      <c r="I179" s="3" t="s">
        <v>23</v>
      </c>
      <c r="J179" s="3" t="s">
        <v>24</v>
      </c>
      <c r="K179" s="3" t="s">
        <v>58</v>
      </c>
      <c r="L179" s="3" t="s">
        <v>86</v>
      </c>
      <c r="M179" s="3" t="s">
        <v>211</v>
      </c>
      <c r="N179" s="3">
        <v>8</v>
      </c>
      <c r="O179" s="3">
        <v>0.4</v>
      </c>
      <c r="P179" s="3">
        <v>2806.19</v>
      </c>
      <c r="Q179" s="3">
        <v>-115.11</v>
      </c>
    </row>
    <row r="180" spans="1:17" x14ac:dyDescent="0.3">
      <c r="A180" s="3">
        <v>177</v>
      </c>
      <c r="B180" s="3" t="s">
        <v>435</v>
      </c>
      <c r="C180" s="3" t="s">
        <v>1256</v>
      </c>
      <c r="D180" s="3" t="s">
        <v>1131</v>
      </c>
      <c r="E180" s="3" t="s">
        <v>19</v>
      </c>
      <c r="F180" s="3" t="s">
        <v>436</v>
      </c>
      <c r="G180" s="3" t="s">
        <v>39</v>
      </c>
      <c r="H180" s="3" t="s">
        <v>46</v>
      </c>
      <c r="I180" s="3" t="s">
        <v>257</v>
      </c>
      <c r="J180" s="3" t="s">
        <v>258</v>
      </c>
      <c r="K180" s="3" t="s">
        <v>58</v>
      </c>
      <c r="L180" s="3" t="s">
        <v>59</v>
      </c>
      <c r="M180" s="3" t="s">
        <v>60</v>
      </c>
      <c r="N180" s="3">
        <v>2</v>
      </c>
      <c r="O180" s="3">
        <v>0</v>
      </c>
      <c r="P180" s="3">
        <v>696.51</v>
      </c>
      <c r="Q180" s="3">
        <v>214.49</v>
      </c>
    </row>
    <row r="181" spans="1:17" x14ac:dyDescent="0.3">
      <c r="A181" s="3">
        <v>178</v>
      </c>
      <c r="B181" s="3" t="s">
        <v>437</v>
      </c>
      <c r="C181" s="3" t="s">
        <v>1257</v>
      </c>
      <c r="D181" s="3" t="s">
        <v>1258</v>
      </c>
      <c r="E181" s="3" t="s">
        <v>56</v>
      </c>
      <c r="F181" s="3" t="s">
        <v>438</v>
      </c>
      <c r="G181" s="3" t="s">
        <v>30</v>
      </c>
      <c r="H181" s="3" t="s">
        <v>46</v>
      </c>
      <c r="I181" s="3" t="s">
        <v>47</v>
      </c>
      <c r="J181" s="3" t="s">
        <v>48</v>
      </c>
      <c r="K181" s="3" t="s">
        <v>25</v>
      </c>
      <c r="L181" s="3" t="s">
        <v>74</v>
      </c>
      <c r="M181" s="3" t="s">
        <v>75</v>
      </c>
      <c r="N181" s="3">
        <v>3</v>
      </c>
      <c r="O181" s="3">
        <v>0.3</v>
      </c>
      <c r="P181" s="3">
        <v>65.5</v>
      </c>
      <c r="Q181" s="3">
        <v>-0.83</v>
      </c>
    </row>
    <row r="182" spans="1:17" x14ac:dyDescent="0.3">
      <c r="A182" s="3">
        <v>179</v>
      </c>
      <c r="B182" s="3" t="s">
        <v>439</v>
      </c>
      <c r="C182" s="3" t="s">
        <v>1259</v>
      </c>
      <c r="D182" s="3" t="s">
        <v>1260</v>
      </c>
      <c r="E182" s="3" t="s">
        <v>56</v>
      </c>
      <c r="F182" s="3" t="s">
        <v>395</v>
      </c>
      <c r="G182" s="3" t="s">
        <v>39</v>
      </c>
      <c r="H182" s="3" t="s">
        <v>22</v>
      </c>
      <c r="I182" s="3" t="s">
        <v>68</v>
      </c>
      <c r="J182" s="3" t="s">
        <v>69</v>
      </c>
      <c r="K182" s="3" t="s">
        <v>33</v>
      </c>
      <c r="L182" s="3" t="s">
        <v>49</v>
      </c>
      <c r="M182" s="3" t="s">
        <v>50</v>
      </c>
      <c r="N182" s="3">
        <v>6</v>
      </c>
      <c r="O182" s="3">
        <v>0.4</v>
      </c>
      <c r="P182" s="3">
        <v>1293.81</v>
      </c>
      <c r="Q182" s="3">
        <v>-234.99</v>
      </c>
    </row>
    <row r="183" spans="1:17" x14ac:dyDescent="0.3">
      <c r="A183" s="3">
        <v>180</v>
      </c>
      <c r="B183" s="3" t="s">
        <v>440</v>
      </c>
      <c r="C183" s="3" t="s">
        <v>1261</v>
      </c>
      <c r="D183" s="3" t="s">
        <v>1262</v>
      </c>
      <c r="E183" s="3" t="s">
        <v>19</v>
      </c>
      <c r="F183" s="3" t="s">
        <v>441</v>
      </c>
      <c r="G183" s="3" t="s">
        <v>21</v>
      </c>
      <c r="H183" s="3" t="s">
        <v>90</v>
      </c>
      <c r="I183" s="3" t="s">
        <v>91</v>
      </c>
      <c r="J183" s="3" t="s">
        <v>92</v>
      </c>
      <c r="K183" s="3" t="s">
        <v>33</v>
      </c>
      <c r="L183" s="3" t="s">
        <v>64</v>
      </c>
      <c r="M183" s="3" t="s">
        <v>269</v>
      </c>
      <c r="N183" s="3">
        <v>14</v>
      </c>
      <c r="O183" s="3">
        <v>0.15</v>
      </c>
      <c r="P183" s="3">
        <v>6413.22</v>
      </c>
      <c r="Q183" s="3">
        <v>1931.72</v>
      </c>
    </row>
    <row r="184" spans="1:17" x14ac:dyDescent="0.3">
      <c r="A184" s="3">
        <v>181</v>
      </c>
      <c r="B184" s="3" t="s">
        <v>442</v>
      </c>
      <c r="C184" s="3" t="s">
        <v>1263</v>
      </c>
      <c r="D184" s="3" t="s">
        <v>1264</v>
      </c>
      <c r="E184" s="3" t="s">
        <v>37</v>
      </c>
      <c r="F184" s="3" t="s">
        <v>443</v>
      </c>
      <c r="G184" s="3" t="s">
        <v>30</v>
      </c>
      <c r="H184" s="3" t="s">
        <v>46</v>
      </c>
      <c r="I184" s="3" t="s">
        <v>257</v>
      </c>
      <c r="J184" s="3" t="s">
        <v>258</v>
      </c>
      <c r="K184" s="3" t="s">
        <v>33</v>
      </c>
      <c r="L184" s="3" t="s">
        <v>95</v>
      </c>
      <c r="M184" s="3" t="s">
        <v>120</v>
      </c>
      <c r="N184" s="3">
        <v>3</v>
      </c>
      <c r="O184" s="3">
        <v>0.3</v>
      </c>
      <c r="P184" s="3">
        <v>1127.47</v>
      </c>
      <c r="Q184" s="3">
        <v>-156.21</v>
      </c>
    </row>
    <row r="185" spans="1:17" x14ac:dyDescent="0.3">
      <c r="A185" s="3">
        <v>182</v>
      </c>
      <c r="B185" s="3" t="s">
        <v>444</v>
      </c>
      <c r="C185" s="3" t="s">
        <v>1265</v>
      </c>
      <c r="D185" s="3" t="s">
        <v>960</v>
      </c>
      <c r="E185" s="3" t="s">
        <v>56</v>
      </c>
      <c r="F185" s="3" t="s">
        <v>445</v>
      </c>
      <c r="G185" s="3" t="s">
        <v>39</v>
      </c>
      <c r="H185" s="3" t="s">
        <v>40</v>
      </c>
      <c r="I185" s="3" t="s">
        <v>114</v>
      </c>
      <c r="J185" s="3" t="s">
        <v>115</v>
      </c>
      <c r="K185" s="3" t="s">
        <v>25</v>
      </c>
      <c r="L185" s="3" t="s">
        <v>74</v>
      </c>
      <c r="M185" s="3" t="s">
        <v>101</v>
      </c>
      <c r="N185" s="3">
        <v>6</v>
      </c>
      <c r="O185" s="3">
        <v>0.4</v>
      </c>
      <c r="P185" s="3">
        <v>603.6</v>
      </c>
      <c r="Q185" s="3">
        <v>-101.45</v>
      </c>
    </row>
    <row r="186" spans="1:17" x14ac:dyDescent="0.3">
      <c r="A186" s="3">
        <v>183</v>
      </c>
      <c r="B186" s="3" t="s">
        <v>446</v>
      </c>
      <c r="C186" s="3" t="s">
        <v>1266</v>
      </c>
      <c r="D186" s="3" t="s">
        <v>1267</v>
      </c>
      <c r="E186" s="3" t="s">
        <v>19</v>
      </c>
      <c r="F186" s="3" t="s">
        <v>447</v>
      </c>
      <c r="G186" s="3" t="s">
        <v>30</v>
      </c>
      <c r="H186" s="3" t="s">
        <v>90</v>
      </c>
      <c r="I186" s="3" t="s">
        <v>110</v>
      </c>
      <c r="J186" s="3" t="s">
        <v>111</v>
      </c>
      <c r="K186" s="3" t="s">
        <v>25</v>
      </c>
      <c r="L186" s="3" t="s">
        <v>74</v>
      </c>
      <c r="M186" s="3" t="s">
        <v>180</v>
      </c>
      <c r="N186" s="3">
        <v>10</v>
      </c>
      <c r="O186" s="3">
        <v>0.1</v>
      </c>
      <c r="P186" s="3">
        <v>54.72</v>
      </c>
      <c r="Q186" s="3">
        <v>-4.09</v>
      </c>
    </row>
    <row r="187" spans="1:17" x14ac:dyDescent="0.3">
      <c r="A187" s="3">
        <v>184</v>
      </c>
      <c r="B187" s="3" t="s">
        <v>448</v>
      </c>
      <c r="C187" s="3" t="s">
        <v>1268</v>
      </c>
      <c r="D187" s="3" t="s">
        <v>1269</v>
      </c>
      <c r="E187" s="3" t="s">
        <v>56</v>
      </c>
      <c r="F187" s="3" t="s">
        <v>449</v>
      </c>
      <c r="G187" s="3" t="s">
        <v>21</v>
      </c>
      <c r="H187" s="3" t="s">
        <v>90</v>
      </c>
      <c r="I187" s="3" t="s">
        <v>91</v>
      </c>
      <c r="J187" s="3" t="s">
        <v>92</v>
      </c>
      <c r="K187" s="3" t="s">
        <v>25</v>
      </c>
      <c r="L187" s="3" t="s">
        <v>74</v>
      </c>
      <c r="M187" s="3" t="s">
        <v>101</v>
      </c>
      <c r="N187" s="3">
        <v>10</v>
      </c>
      <c r="O187" s="3">
        <v>0.2</v>
      </c>
      <c r="P187" s="3">
        <v>145.47999999999999</v>
      </c>
      <c r="Q187" s="3">
        <v>10.94</v>
      </c>
    </row>
    <row r="188" spans="1:17" x14ac:dyDescent="0.3">
      <c r="A188" s="3">
        <v>185</v>
      </c>
      <c r="B188" s="3" t="s">
        <v>450</v>
      </c>
      <c r="C188" s="3" t="s">
        <v>1270</v>
      </c>
      <c r="D188" s="3" t="s">
        <v>1271</v>
      </c>
      <c r="E188" s="3" t="s">
        <v>37</v>
      </c>
      <c r="F188" s="3" t="s">
        <v>451</v>
      </c>
      <c r="G188" s="3" t="s">
        <v>39</v>
      </c>
      <c r="H188" s="3" t="s">
        <v>22</v>
      </c>
      <c r="I188" s="3" t="s">
        <v>68</v>
      </c>
      <c r="J188" s="3" t="s">
        <v>69</v>
      </c>
      <c r="K188" s="3" t="s">
        <v>25</v>
      </c>
      <c r="L188" s="3" t="s">
        <v>116</v>
      </c>
      <c r="M188" s="3" t="s">
        <v>166</v>
      </c>
      <c r="N188" s="3">
        <v>14</v>
      </c>
      <c r="O188" s="3">
        <v>0.4</v>
      </c>
      <c r="P188" s="3">
        <v>1211.97</v>
      </c>
      <c r="Q188" s="3">
        <v>326.23</v>
      </c>
    </row>
    <row r="189" spans="1:17" x14ac:dyDescent="0.3">
      <c r="A189" s="3">
        <v>186</v>
      </c>
      <c r="B189" s="3" t="s">
        <v>452</v>
      </c>
      <c r="C189" s="3" t="s">
        <v>1272</v>
      </c>
      <c r="D189" s="3" t="s">
        <v>1273</v>
      </c>
      <c r="E189" s="3" t="s">
        <v>62</v>
      </c>
      <c r="F189" s="3" t="s">
        <v>453</v>
      </c>
      <c r="G189" s="3" t="s">
        <v>30</v>
      </c>
      <c r="H189" s="3" t="s">
        <v>90</v>
      </c>
      <c r="I189" s="3" t="s">
        <v>104</v>
      </c>
      <c r="J189" s="3" t="s">
        <v>105</v>
      </c>
      <c r="K189" s="3" t="s">
        <v>25</v>
      </c>
      <c r="L189" s="3" t="s">
        <v>26</v>
      </c>
      <c r="M189" s="3" t="s">
        <v>27</v>
      </c>
      <c r="N189" s="3">
        <v>6</v>
      </c>
      <c r="O189" s="3">
        <v>0</v>
      </c>
      <c r="P189" s="3">
        <v>388.85</v>
      </c>
      <c r="Q189" s="3">
        <v>-21.7</v>
      </c>
    </row>
    <row r="190" spans="1:17" x14ac:dyDescent="0.3">
      <c r="A190" s="3">
        <v>187</v>
      </c>
      <c r="B190" s="3" t="s">
        <v>454</v>
      </c>
      <c r="C190" s="3" t="s">
        <v>1274</v>
      </c>
      <c r="D190" s="3" t="s">
        <v>1275</v>
      </c>
      <c r="E190" s="3" t="s">
        <v>37</v>
      </c>
      <c r="F190" s="3" t="s">
        <v>321</v>
      </c>
      <c r="G190" s="3" t="s">
        <v>21</v>
      </c>
      <c r="H190" s="3" t="s">
        <v>40</v>
      </c>
      <c r="I190" s="3" t="s">
        <v>185</v>
      </c>
      <c r="J190" s="3" t="s">
        <v>186</v>
      </c>
      <c r="K190" s="3" t="s">
        <v>58</v>
      </c>
      <c r="L190" s="3" t="s">
        <v>199</v>
      </c>
      <c r="M190" s="3" t="s">
        <v>205</v>
      </c>
      <c r="N190" s="3">
        <v>14</v>
      </c>
      <c r="O190" s="3">
        <v>0</v>
      </c>
      <c r="P190" s="3">
        <v>1293.1099999999999</v>
      </c>
      <c r="Q190" s="3">
        <v>228.67</v>
      </c>
    </row>
    <row r="191" spans="1:17" x14ac:dyDescent="0.3">
      <c r="A191" s="3">
        <v>188</v>
      </c>
      <c r="B191" s="3" t="s">
        <v>455</v>
      </c>
      <c r="C191" s="3" t="s">
        <v>1276</v>
      </c>
      <c r="D191" s="3" t="s">
        <v>1277</v>
      </c>
      <c r="E191" s="3" t="s">
        <v>62</v>
      </c>
      <c r="F191" s="3" t="s">
        <v>410</v>
      </c>
      <c r="G191" s="3" t="s">
        <v>21</v>
      </c>
      <c r="H191" s="3" t="s">
        <v>90</v>
      </c>
      <c r="I191" s="3" t="s">
        <v>110</v>
      </c>
      <c r="J191" s="3" t="s">
        <v>111</v>
      </c>
      <c r="K191" s="3" t="s">
        <v>25</v>
      </c>
      <c r="L191" s="3" t="s">
        <v>53</v>
      </c>
      <c r="M191" s="3" t="s">
        <v>139</v>
      </c>
      <c r="N191" s="3">
        <v>12</v>
      </c>
      <c r="O191" s="3">
        <v>0.2</v>
      </c>
      <c r="P191" s="3">
        <v>392.89</v>
      </c>
      <c r="Q191" s="3">
        <v>8.9600000000000009</v>
      </c>
    </row>
    <row r="192" spans="1:17" x14ac:dyDescent="0.3">
      <c r="A192" s="3">
        <v>189</v>
      </c>
      <c r="B192" s="3" t="s">
        <v>456</v>
      </c>
      <c r="C192" s="3" t="s">
        <v>1278</v>
      </c>
      <c r="D192" s="3" t="s">
        <v>1279</v>
      </c>
      <c r="E192" s="3" t="s">
        <v>56</v>
      </c>
      <c r="F192" s="3" t="s">
        <v>457</v>
      </c>
      <c r="G192" s="3" t="s">
        <v>21</v>
      </c>
      <c r="H192" s="3" t="s">
        <v>90</v>
      </c>
      <c r="I192" s="3" t="s">
        <v>99</v>
      </c>
      <c r="J192" s="3" t="s">
        <v>100</v>
      </c>
      <c r="K192" s="3" t="s">
        <v>58</v>
      </c>
      <c r="L192" s="3" t="s">
        <v>217</v>
      </c>
      <c r="M192" s="3" t="s">
        <v>232</v>
      </c>
      <c r="N192" s="3">
        <v>4</v>
      </c>
      <c r="O192" s="3">
        <v>0.2</v>
      </c>
      <c r="P192" s="3">
        <v>987.06</v>
      </c>
      <c r="Q192" s="3">
        <v>243.81</v>
      </c>
    </row>
    <row r="193" spans="1:17" x14ac:dyDescent="0.3">
      <c r="A193" s="3">
        <v>190</v>
      </c>
      <c r="B193" s="3" t="s">
        <v>458</v>
      </c>
      <c r="C193" s="3" t="s">
        <v>1280</v>
      </c>
      <c r="D193" s="3" t="s">
        <v>1281</v>
      </c>
      <c r="E193" s="3" t="s">
        <v>37</v>
      </c>
      <c r="F193" s="3" t="s">
        <v>338</v>
      </c>
      <c r="G193" s="3" t="s">
        <v>39</v>
      </c>
      <c r="H193" s="3" t="s">
        <v>46</v>
      </c>
      <c r="I193" s="3" t="s">
        <v>257</v>
      </c>
      <c r="J193" s="3" t="s">
        <v>258</v>
      </c>
      <c r="K193" s="3" t="s">
        <v>33</v>
      </c>
      <c r="L193" s="3" t="s">
        <v>34</v>
      </c>
      <c r="M193" s="3" t="s">
        <v>43</v>
      </c>
      <c r="N193" s="3">
        <v>3</v>
      </c>
      <c r="O193" s="3">
        <v>0</v>
      </c>
      <c r="P193" s="3">
        <v>968.6</v>
      </c>
      <c r="Q193" s="3">
        <v>334.27</v>
      </c>
    </row>
    <row r="194" spans="1:17" x14ac:dyDescent="0.3">
      <c r="A194" s="3">
        <v>191</v>
      </c>
      <c r="B194" s="3" t="s">
        <v>459</v>
      </c>
      <c r="C194" s="3" t="s">
        <v>1282</v>
      </c>
      <c r="D194" s="3" t="s">
        <v>1283</v>
      </c>
      <c r="E194" s="3" t="s">
        <v>62</v>
      </c>
      <c r="F194" s="3" t="s">
        <v>460</v>
      </c>
      <c r="G194" s="3" t="s">
        <v>39</v>
      </c>
      <c r="H194" s="3" t="s">
        <v>40</v>
      </c>
      <c r="I194" s="3" t="s">
        <v>41</v>
      </c>
      <c r="J194" s="3" t="s">
        <v>42</v>
      </c>
      <c r="K194" s="3" t="s">
        <v>33</v>
      </c>
      <c r="L194" s="3" t="s">
        <v>64</v>
      </c>
      <c r="M194" s="3" t="s">
        <v>269</v>
      </c>
      <c r="N194" s="3">
        <v>11</v>
      </c>
      <c r="O194" s="3">
        <v>0</v>
      </c>
      <c r="P194" s="3">
        <v>6985.72</v>
      </c>
      <c r="Q194" s="3">
        <v>-1529.37</v>
      </c>
    </row>
    <row r="195" spans="1:17" x14ac:dyDescent="0.3">
      <c r="A195" s="3">
        <v>192</v>
      </c>
      <c r="B195" s="3" t="s">
        <v>461</v>
      </c>
      <c r="C195" s="3" t="s">
        <v>1284</v>
      </c>
      <c r="D195" s="3" t="s">
        <v>1285</v>
      </c>
      <c r="E195" s="3" t="s">
        <v>19</v>
      </c>
      <c r="F195" s="3" t="s">
        <v>462</v>
      </c>
      <c r="G195" s="3" t="s">
        <v>39</v>
      </c>
      <c r="H195" s="3" t="s">
        <v>22</v>
      </c>
      <c r="I195" s="3" t="s">
        <v>23</v>
      </c>
      <c r="J195" s="3" t="s">
        <v>24</v>
      </c>
      <c r="K195" s="3" t="s">
        <v>33</v>
      </c>
      <c r="L195" s="3" t="s">
        <v>49</v>
      </c>
      <c r="M195" s="3" t="s">
        <v>208</v>
      </c>
      <c r="N195" s="3">
        <v>9</v>
      </c>
      <c r="O195" s="3">
        <v>0</v>
      </c>
      <c r="P195" s="3">
        <v>4355.8999999999996</v>
      </c>
      <c r="Q195" s="3">
        <v>-1067.9000000000001</v>
      </c>
    </row>
    <row r="196" spans="1:17" x14ac:dyDescent="0.3">
      <c r="A196" s="3">
        <v>193</v>
      </c>
      <c r="B196" s="3" t="s">
        <v>463</v>
      </c>
      <c r="C196" s="3" t="s">
        <v>1286</v>
      </c>
      <c r="D196" s="3" t="s">
        <v>1287</v>
      </c>
      <c r="E196" s="3" t="s">
        <v>62</v>
      </c>
      <c r="F196" s="3" t="s">
        <v>464</v>
      </c>
      <c r="G196" s="3" t="s">
        <v>39</v>
      </c>
      <c r="H196" s="3" t="s">
        <v>90</v>
      </c>
      <c r="I196" s="3" t="s">
        <v>169</v>
      </c>
      <c r="J196" s="3" t="s">
        <v>170</v>
      </c>
      <c r="K196" s="3" t="s">
        <v>25</v>
      </c>
      <c r="L196" s="3" t="s">
        <v>116</v>
      </c>
      <c r="M196" s="3" t="s">
        <v>117</v>
      </c>
      <c r="N196" s="3">
        <v>6</v>
      </c>
      <c r="O196" s="3">
        <v>0.15</v>
      </c>
      <c r="P196" s="3">
        <v>259.98</v>
      </c>
      <c r="Q196" s="3">
        <v>-43.6</v>
      </c>
    </row>
    <row r="197" spans="1:17" x14ac:dyDescent="0.3">
      <c r="A197" s="3">
        <v>194</v>
      </c>
      <c r="B197" s="3" t="s">
        <v>465</v>
      </c>
      <c r="C197" s="3" t="s">
        <v>1288</v>
      </c>
      <c r="D197" s="3" t="s">
        <v>1289</v>
      </c>
      <c r="E197" s="3" t="s">
        <v>56</v>
      </c>
      <c r="F197" s="3" t="s">
        <v>466</v>
      </c>
      <c r="G197" s="3" t="s">
        <v>39</v>
      </c>
      <c r="H197" s="3" t="s">
        <v>40</v>
      </c>
      <c r="I197" s="3" t="s">
        <v>185</v>
      </c>
      <c r="J197" s="3" t="s">
        <v>186</v>
      </c>
      <c r="K197" s="3" t="s">
        <v>25</v>
      </c>
      <c r="L197" s="3" t="s">
        <v>26</v>
      </c>
      <c r="M197" s="3" t="s">
        <v>155</v>
      </c>
      <c r="N197" s="3">
        <v>10</v>
      </c>
      <c r="O197" s="3">
        <v>0.1</v>
      </c>
      <c r="P197" s="3">
        <v>805.24</v>
      </c>
      <c r="Q197" s="3">
        <v>-159.43</v>
      </c>
    </row>
    <row r="198" spans="1:17" x14ac:dyDescent="0.3">
      <c r="A198" s="3">
        <v>195</v>
      </c>
      <c r="B198" s="3" t="s">
        <v>467</v>
      </c>
      <c r="C198" s="3" t="s">
        <v>1290</v>
      </c>
      <c r="D198" s="3" t="s">
        <v>1291</v>
      </c>
      <c r="E198" s="3" t="s">
        <v>19</v>
      </c>
      <c r="F198" s="3" t="s">
        <v>468</v>
      </c>
      <c r="G198" s="3" t="s">
        <v>39</v>
      </c>
      <c r="H198" s="3" t="s">
        <v>46</v>
      </c>
      <c r="I198" s="3" t="s">
        <v>146</v>
      </c>
      <c r="J198" s="3" t="s">
        <v>147</v>
      </c>
      <c r="K198" s="3" t="s">
        <v>25</v>
      </c>
      <c r="L198" s="3" t="s">
        <v>26</v>
      </c>
      <c r="M198" s="3" t="s">
        <v>27</v>
      </c>
      <c r="N198" s="3">
        <v>2</v>
      </c>
      <c r="O198" s="3">
        <v>0.15</v>
      </c>
      <c r="P198" s="3">
        <v>59.75</v>
      </c>
      <c r="Q198" s="3">
        <v>12.99</v>
      </c>
    </row>
    <row r="199" spans="1:17" x14ac:dyDescent="0.3">
      <c r="A199" s="3">
        <v>196</v>
      </c>
      <c r="B199" s="3" t="s">
        <v>469</v>
      </c>
      <c r="C199" s="3" t="s">
        <v>982</v>
      </c>
      <c r="D199" s="3" t="s">
        <v>1292</v>
      </c>
      <c r="E199" s="3" t="s">
        <v>56</v>
      </c>
      <c r="F199" s="3" t="s">
        <v>470</v>
      </c>
      <c r="G199" s="3" t="s">
        <v>21</v>
      </c>
      <c r="H199" s="3" t="s">
        <v>90</v>
      </c>
      <c r="I199" s="3" t="s">
        <v>99</v>
      </c>
      <c r="J199" s="3" t="s">
        <v>100</v>
      </c>
      <c r="K199" s="3" t="s">
        <v>25</v>
      </c>
      <c r="L199" s="3" t="s">
        <v>26</v>
      </c>
      <c r="M199" s="3" t="s">
        <v>259</v>
      </c>
      <c r="N199" s="3">
        <v>4</v>
      </c>
      <c r="O199" s="3">
        <v>0</v>
      </c>
      <c r="P199" s="3">
        <v>243.8</v>
      </c>
      <c r="Q199" s="3">
        <v>16.329999999999998</v>
      </c>
    </row>
    <row r="200" spans="1:17" x14ac:dyDescent="0.3">
      <c r="A200" s="3">
        <v>197</v>
      </c>
      <c r="B200" s="3" t="s">
        <v>471</v>
      </c>
      <c r="C200" s="3" t="s">
        <v>1293</v>
      </c>
      <c r="D200" s="3" t="s">
        <v>1294</v>
      </c>
      <c r="E200" s="3" t="s">
        <v>56</v>
      </c>
      <c r="F200" s="3" t="s">
        <v>472</v>
      </c>
      <c r="G200" s="3" t="s">
        <v>30</v>
      </c>
      <c r="H200" s="3" t="s">
        <v>90</v>
      </c>
      <c r="I200" s="3" t="s">
        <v>99</v>
      </c>
      <c r="J200" s="3" t="s">
        <v>100</v>
      </c>
      <c r="K200" s="3" t="s">
        <v>25</v>
      </c>
      <c r="L200" s="3" t="s">
        <v>26</v>
      </c>
      <c r="M200" s="3" t="s">
        <v>259</v>
      </c>
      <c r="N200" s="3">
        <v>10</v>
      </c>
      <c r="O200" s="3">
        <v>0.15</v>
      </c>
      <c r="P200" s="3">
        <v>95.2</v>
      </c>
      <c r="Q200" s="3">
        <v>-11.48</v>
      </c>
    </row>
    <row r="201" spans="1:17" x14ac:dyDescent="0.3">
      <c r="A201" s="3">
        <v>198</v>
      </c>
      <c r="B201" s="3" t="s">
        <v>473</v>
      </c>
      <c r="C201" s="3" t="s">
        <v>1283</v>
      </c>
      <c r="D201" s="3" t="s">
        <v>1295</v>
      </c>
      <c r="E201" s="3" t="s">
        <v>62</v>
      </c>
      <c r="F201" s="3" t="s">
        <v>362</v>
      </c>
      <c r="G201" s="3" t="s">
        <v>30</v>
      </c>
      <c r="H201" s="3" t="s">
        <v>90</v>
      </c>
      <c r="I201" s="3" t="s">
        <v>110</v>
      </c>
      <c r="J201" s="3" t="s">
        <v>111</v>
      </c>
      <c r="K201" s="3" t="s">
        <v>33</v>
      </c>
      <c r="L201" s="3" t="s">
        <v>95</v>
      </c>
      <c r="M201" s="3" t="s">
        <v>96</v>
      </c>
      <c r="N201" s="3">
        <v>2</v>
      </c>
      <c r="O201" s="3">
        <v>0.1</v>
      </c>
      <c r="P201" s="3">
        <v>718.05</v>
      </c>
      <c r="Q201" s="3">
        <v>240.25</v>
      </c>
    </row>
    <row r="202" spans="1:17" x14ac:dyDescent="0.3">
      <c r="A202" s="3">
        <v>199</v>
      </c>
      <c r="B202" s="3" t="s">
        <v>474</v>
      </c>
      <c r="C202" s="3" t="s">
        <v>1296</v>
      </c>
      <c r="D202" s="3" t="s">
        <v>1297</v>
      </c>
      <c r="E202" s="3" t="s">
        <v>19</v>
      </c>
      <c r="F202" s="3" t="s">
        <v>475</v>
      </c>
      <c r="G202" s="3" t="s">
        <v>39</v>
      </c>
      <c r="H202" s="3" t="s">
        <v>46</v>
      </c>
      <c r="I202" s="3" t="s">
        <v>146</v>
      </c>
      <c r="J202" s="3" t="s">
        <v>147</v>
      </c>
      <c r="K202" s="3" t="s">
        <v>25</v>
      </c>
      <c r="L202" s="3" t="s">
        <v>26</v>
      </c>
      <c r="M202" s="3" t="s">
        <v>27</v>
      </c>
      <c r="N202" s="3">
        <v>7</v>
      </c>
      <c r="O202" s="3">
        <v>0</v>
      </c>
      <c r="P202" s="3">
        <v>109.8</v>
      </c>
      <c r="Q202" s="3">
        <v>-7.07</v>
      </c>
    </row>
    <row r="203" spans="1:17" x14ac:dyDescent="0.3">
      <c r="A203" s="3">
        <v>200</v>
      </c>
      <c r="B203" s="3" t="s">
        <v>1298</v>
      </c>
      <c r="C203" s="3" t="s">
        <v>1299</v>
      </c>
      <c r="D203" s="3" t="s">
        <v>1300</v>
      </c>
      <c r="E203" s="3" t="s">
        <v>56</v>
      </c>
      <c r="F203" s="3" t="s">
        <v>475</v>
      </c>
      <c r="G203" s="3" t="s">
        <v>30</v>
      </c>
      <c r="H203" s="3" t="s">
        <v>22</v>
      </c>
      <c r="I203" s="3" t="s">
        <v>68</v>
      </c>
      <c r="J203" s="3" t="s">
        <v>69</v>
      </c>
      <c r="K203" s="3" t="s">
        <v>25</v>
      </c>
      <c r="L203" s="3" t="s">
        <v>106</v>
      </c>
      <c r="M203" s="3" t="s">
        <v>136</v>
      </c>
      <c r="N203" s="3">
        <v>14</v>
      </c>
      <c r="O203" s="3">
        <v>0</v>
      </c>
      <c r="P203" s="3"/>
      <c r="Q203" s="3">
        <v>-32.76</v>
      </c>
    </row>
    <row r="204" spans="1:17" x14ac:dyDescent="0.3">
      <c r="A204" s="3">
        <v>201</v>
      </c>
      <c r="B204" s="3" t="s">
        <v>476</v>
      </c>
      <c r="C204" s="3" t="s">
        <v>1301</v>
      </c>
      <c r="D204" s="3" t="s">
        <v>1302</v>
      </c>
      <c r="E204" s="3" t="s">
        <v>62</v>
      </c>
      <c r="F204" s="3" t="s">
        <v>477</v>
      </c>
      <c r="G204" s="3" t="s">
        <v>39</v>
      </c>
      <c r="H204" s="3" t="s">
        <v>46</v>
      </c>
      <c r="I204" s="3" t="s">
        <v>47</v>
      </c>
      <c r="J204" s="3" t="s">
        <v>48</v>
      </c>
      <c r="K204" s="3" t="s">
        <v>33</v>
      </c>
      <c r="L204" s="3" t="s">
        <v>49</v>
      </c>
      <c r="M204" s="3" t="s">
        <v>478</v>
      </c>
      <c r="N204" s="3">
        <v>6</v>
      </c>
      <c r="O204" s="3">
        <v>0</v>
      </c>
      <c r="P204" s="3">
        <v>374.53</v>
      </c>
      <c r="Q204" s="3">
        <v>-11.01</v>
      </c>
    </row>
    <row r="205" spans="1:17" x14ac:dyDescent="0.3">
      <c r="A205" s="3">
        <v>202</v>
      </c>
      <c r="B205" s="3" t="s">
        <v>479</v>
      </c>
      <c r="C205" s="3" t="s">
        <v>1303</v>
      </c>
      <c r="D205" s="3" t="s">
        <v>1304</v>
      </c>
      <c r="E205" s="3" t="s">
        <v>37</v>
      </c>
      <c r="F205" s="3" t="s">
        <v>130</v>
      </c>
      <c r="G205" s="3" t="s">
        <v>21</v>
      </c>
      <c r="H205" s="3" t="s">
        <v>40</v>
      </c>
      <c r="I205" s="3" t="s">
        <v>223</v>
      </c>
      <c r="J205" s="3" t="s">
        <v>224</v>
      </c>
      <c r="K205" s="3" t="s">
        <v>33</v>
      </c>
      <c r="L205" s="3" t="s">
        <v>49</v>
      </c>
      <c r="M205" s="3" t="s">
        <v>208</v>
      </c>
      <c r="N205" s="3">
        <v>6</v>
      </c>
      <c r="O205" s="3">
        <v>0</v>
      </c>
      <c r="P205" s="3">
        <v>1701.07</v>
      </c>
      <c r="Q205" s="3">
        <v>-242.61</v>
      </c>
    </row>
    <row r="206" spans="1:17" x14ac:dyDescent="0.3">
      <c r="A206" s="3">
        <v>203</v>
      </c>
      <c r="B206" s="3" t="s">
        <v>480</v>
      </c>
      <c r="C206" s="3" t="s">
        <v>1305</v>
      </c>
      <c r="D206" s="3" t="s">
        <v>1198</v>
      </c>
      <c r="E206" s="3" t="s">
        <v>37</v>
      </c>
      <c r="F206" s="3" t="s">
        <v>38</v>
      </c>
      <c r="G206" s="3" t="s">
        <v>30</v>
      </c>
      <c r="H206" s="3" t="s">
        <v>40</v>
      </c>
      <c r="I206" s="3" t="s">
        <v>185</v>
      </c>
      <c r="J206" s="3" t="s">
        <v>186</v>
      </c>
      <c r="K206" s="3" t="s">
        <v>58</v>
      </c>
      <c r="L206" s="3" t="s">
        <v>199</v>
      </c>
      <c r="M206" s="3" t="s">
        <v>200</v>
      </c>
      <c r="N206" s="3">
        <v>6</v>
      </c>
      <c r="O206" s="3">
        <v>0</v>
      </c>
      <c r="P206" s="3">
        <v>516.71</v>
      </c>
      <c r="Q206" s="3">
        <v>-73.58</v>
      </c>
    </row>
    <row r="207" spans="1:17" x14ac:dyDescent="0.3">
      <c r="A207" s="3">
        <v>204</v>
      </c>
      <c r="B207" s="3" t="s">
        <v>481</v>
      </c>
      <c r="C207" s="3" t="s">
        <v>1167</v>
      </c>
      <c r="D207" s="3" t="s">
        <v>1306</v>
      </c>
      <c r="E207" s="3" t="s">
        <v>56</v>
      </c>
      <c r="F207" s="3" t="s">
        <v>391</v>
      </c>
      <c r="G207" s="3" t="s">
        <v>39</v>
      </c>
      <c r="H207" s="3" t="s">
        <v>46</v>
      </c>
      <c r="I207" s="3" t="s">
        <v>281</v>
      </c>
      <c r="J207" s="3" t="s">
        <v>282</v>
      </c>
      <c r="K207" s="3" t="s">
        <v>33</v>
      </c>
      <c r="L207" s="3" t="s">
        <v>34</v>
      </c>
      <c r="M207" s="3" t="s">
        <v>43</v>
      </c>
      <c r="N207" s="3">
        <v>5</v>
      </c>
      <c r="O207" s="3">
        <v>0.15</v>
      </c>
      <c r="P207" s="3">
        <v>1936.59</v>
      </c>
      <c r="Q207" s="3">
        <v>375.21</v>
      </c>
    </row>
    <row r="208" spans="1:17" x14ac:dyDescent="0.3">
      <c r="A208" s="3">
        <v>205</v>
      </c>
      <c r="B208" s="3" t="s">
        <v>482</v>
      </c>
      <c r="C208" s="3" t="s">
        <v>1307</v>
      </c>
      <c r="D208" s="3" t="s">
        <v>1308</v>
      </c>
      <c r="E208" s="3" t="s">
        <v>56</v>
      </c>
      <c r="F208" s="3" t="s">
        <v>483</v>
      </c>
      <c r="G208" s="3" t="s">
        <v>39</v>
      </c>
      <c r="H208" s="3" t="s">
        <v>40</v>
      </c>
      <c r="I208" s="3" t="s">
        <v>223</v>
      </c>
      <c r="J208" s="3" t="s">
        <v>224</v>
      </c>
      <c r="K208" s="3" t="s">
        <v>25</v>
      </c>
      <c r="L208" s="3" t="s">
        <v>26</v>
      </c>
      <c r="M208" s="3" t="s">
        <v>27</v>
      </c>
      <c r="N208" s="3">
        <v>1</v>
      </c>
      <c r="O208" s="3">
        <v>0.2</v>
      </c>
      <c r="P208" s="3">
        <v>27.72</v>
      </c>
      <c r="Q208" s="3">
        <v>3.65</v>
      </c>
    </row>
    <row r="209" spans="1:17" x14ac:dyDescent="0.3">
      <c r="A209" s="3">
        <v>206</v>
      </c>
      <c r="B209" s="3" t="s">
        <v>484</v>
      </c>
      <c r="C209" s="3" t="s">
        <v>1309</v>
      </c>
      <c r="D209" s="3" t="s">
        <v>1310</v>
      </c>
      <c r="E209" s="3" t="s">
        <v>37</v>
      </c>
      <c r="F209" s="3" t="s">
        <v>340</v>
      </c>
      <c r="G209" s="3" t="s">
        <v>39</v>
      </c>
      <c r="H209" s="3" t="s">
        <v>46</v>
      </c>
      <c r="I209" s="3" t="s">
        <v>257</v>
      </c>
      <c r="J209" s="3" t="s">
        <v>258</v>
      </c>
      <c r="K209" s="3" t="s">
        <v>33</v>
      </c>
      <c r="L209" s="3" t="s">
        <v>95</v>
      </c>
      <c r="M209" s="3" t="s">
        <v>120</v>
      </c>
      <c r="N209" s="3">
        <v>3</v>
      </c>
      <c r="O209" s="3">
        <v>0</v>
      </c>
      <c r="P209" s="3">
        <v>1516.1</v>
      </c>
      <c r="Q209" s="3">
        <v>-339.09</v>
      </c>
    </row>
    <row r="210" spans="1:17" x14ac:dyDescent="0.3">
      <c r="A210" s="3">
        <v>207</v>
      </c>
      <c r="B210" s="3" t="s">
        <v>485</v>
      </c>
      <c r="C210" s="3" t="s">
        <v>1311</v>
      </c>
      <c r="D210" s="3" t="s">
        <v>1312</v>
      </c>
      <c r="E210" s="3" t="s">
        <v>37</v>
      </c>
      <c r="F210" s="3" t="s">
        <v>317</v>
      </c>
      <c r="G210" s="3" t="s">
        <v>30</v>
      </c>
      <c r="H210" s="3" t="s">
        <v>90</v>
      </c>
      <c r="I210" s="3" t="s">
        <v>169</v>
      </c>
      <c r="J210" s="3" t="s">
        <v>170</v>
      </c>
      <c r="K210" s="3" t="s">
        <v>25</v>
      </c>
      <c r="L210" s="3" t="s">
        <v>80</v>
      </c>
      <c r="M210" s="3" t="s">
        <v>81</v>
      </c>
      <c r="N210" s="3">
        <v>7</v>
      </c>
      <c r="O210" s="3">
        <v>0</v>
      </c>
      <c r="P210" s="3">
        <v>75.81</v>
      </c>
      <c r="Q210" s="3">
        <v>0.83</v>
      </c>
    </row>
    <row r="211" spans="1:17" x14ac:dyDescent="0.3">
      <c r="A211" s="3">
        <v>208</v>
      </c>
      <c r="B211" s="3" t="s">
        <v>486</v>
      </c>
      <c r="C211" s="3" t="s">
        <v>1313</v>
      </c>
      <c r="D211" s="3" t="s">
        <v>1314</v>
      </c>
      <c r="E211" s="3" t="s">
        <v>56</v>
      </c>
      <c r="F211" s="3" t="s">
        <v>434</v>
      </c>
      <c r="G211" s="3" t="s">
        <v>30</v>
      </c>
      <c r="H211" s="3" t="s">
        <v>90</v>
      </c>
      <c r="I211" s="3" t="s">
        <v>99</v>
      </c>
      <c r="J211" s="3" t="s">
        <v>100</v>
      </c>
      <c r="K211" s="3" t="s">
        <v>25</v>
      </c>
      <c r="L211" s="3" t="s">
        <v>106</v>
      </c>
      <c r="M211" s="3" t="s">
        <v>123</v>
      </c>
      <c r="N211" s="3">
        <v>3</v>
      </c>
      <c r="O211" s="3">
        <v>0</v>
      </c>
      <c r="P211" s="3">
        <v>282.10000000000002</v>
      </c>
      <c r="Q211" s="3">
        <v>-44.22</v>
      </c>
    </row>
    <row r="212" spans="1:17" x14ac:dyDescent="0.3">
      <c r="A212" s="3">
        <v>209</v>
      </c>
      <c r="B212" s="3" t="s">
        <v>487</v>
      </c>
      <c r="C212" s="3" t="s">
        <v>1315</v>
      </c>
      <c r="D212" s="3" t="s">
        <v>1316</v>
      </c>
      <c r="E212" s="3" t="s">
        <v>37</v>
      </c>
      <c r="F212" s="3" t="s">
        <v>488</v>
      </c>
      <c r="G212" s="3" t="s">
        <v>21</v>
      </c>
      <c r="H212" s="3" t="s">
        <v>22</v>
      </c>
      <c r="I212" s="3" t="s">
        <v>31</v>
      </c>
      <c r="J212" s="3" t="s">
        <v>32</v>
      </c>
      <c r="K212" s="3" t="s">
        <v>25</v>
      </c>
      <c r="L212" s="3" t="s">
        <v>26</v>
      </c>
      <c r="M212" s="3" t="s">
        <v>259</v>
      </c>
      <c r="N212" s="3">
        <v>5</v>
      </c>
      <c r="O212" s="3">
        <v>0</v>
      </c>
      <c r="P212" s="3">
        <v>512.96</v>
      </c>
      <c r="Q212" s="3">
        <v>-79.73</v>
      </c>
    </row>
    <row r="213" spans="1:17" x14ac:dyDescent="0.3">
      <c r="A213" s="3">
        <v>210</v>
      </c>
      <c r="B213" s="3" t="s">
        <v>489</v>
      </c>
      <c r="C213" s="3" t="s">
        <v>1122</v>
      </c>
      <c r="D213" s="3" t="s">
        <v>1317</v>
      </c>
      <c r="E213" s="3" t="s">
        <v>19</v>
      </c>
      <c r="F213" s="3" t="s">
        <v>449</v>
      </c>
      <c r="G213" s="3" t="s">
        <v>39</v>
      </c>
      <c r="H213" s="3" t="s">
        <v>40</v>
      </c>
      <c r="I213" s="3" t="s">
        <v>158</v>
      </c>
      <c r="J213" s="3" t="s">
        <v>159</v>
      </c>
      <c r="K213" s="3" t="s">
        <v>25</v>
      </c>
      <c r="L213" s="3" t="s">
        <v>106</v>
      </c>
      <c r="M213" s="3" t="s">
        <v>107</v>
      </c>
      <c r="N213" s="3">
        <v>11</v>
      </c>
      <c r="O213" s="3">
        <v>0</v>
      </c>
      <c r="P213" s="3">
        <v>409.9</v>
      </c>
      <c r="Q213" s="3">
        <v>-94.83</v>
      </c>
    </row>
    <row r="214" spans="1:17" x14ac:dyDescent="0.3">
      <c r="A214" s="3">
        <v>211</v>
      </c>
      <c r="B214" s="3" t="s">
        <v>1318</v>
      </c>
      <c r="C214" s="3" t="s">
        <v>1319</v>
      </c>
      <c r="D214" s="3" t="s">
        <v>1320</v>
      </c>
      <c r="E214" s="3" t="s">
        <v>37</v>
      </c>
      <c r="F214" s="3" t="s">
        <v>721</v>
      </c>
      <c r="G214" s="3" t="s">
        <v>39</v>
      </c>
      <c r="H214" s="3" t="s">
        <v>22</v>
      </c>
      <c r="I214" s="3" t="s">
        <v>84</v>
      </c>
      <c r="J214" s="3" t="s">
        <v>85</v>
      </c>
      <c r="K214" s="3" t="s">
        <v>33</v>
      </c>
      <c r="L214" s="3" t="s">
        <v>95</v>
      </c>
      <c r="M214" s="3" t="s">
        <v>262</v>
      </c>
      <c r="N214" s="3">
        <v>14</v>
      </c>
      <c r="O214" s="3">
        <v>0.1</v>
      </c>
      <c r="P214" s="3"/>
      <c r="Q214" s="3">
        <v>-1286.47</v>
      </c>
    </row>
    <row r="215" spans="1:17" x14ac:dyDescent="0.3">
      <c r="A215" s="3">
        <v>212</v>
      </c>
      <c r="B215" s="3" t="s">
        <v>490</v>
      </c>
      <c r="C215" s="3" t="s">
        <v>1060</v>
      </c>
      <c r="D215" s="3" t="s">
        <v>1253</v>
      </c>
      <c r="E215" s="3" t="s">
        <v>56</v>
      </c>
      <c r="F215" s="3" t="s">
        <v>210</v>
      </c>
      <c r="G215" s="3" t="s">
        <v>39</v>
      </c>
      <c r="H215" s="3" t="s">
        <v>22</v>
      </c>
      <c r="I215" s="3" t="s">
        <v>23</v>
      </c>
      <c r="J215" s="3" t="s">
        <v>24</v>
      </c>
      <c r="K215" s="3" t="s">
        <v>58</v>
      </c>
      <c r="L215" s="3" t="s">
        <v>86</v>
      </c>
      <c r="M215" s="3" t="s">
        <v>133</v>
      </c>
      <c r="N215" s="3">
        <v>3</v>
      </c>
      <c r="O215" s="3">
        <v>0.2</v>
      </c>
      <c r="P215" s="3">
        <v>206.51</v>
      </c>
      <c r="Q215" s="3">
        <v>-36.450000000000003</v>
      </c>
    </row>
    <row r="216" spans="1:17" x14ac:dyDescent="0.3">
      <c r="A216" s="3">
        <v>213</v>
      </c>
      <c r="B216" s="3" t="s">
        <v>491</v>
      </c>
      <c r="C216" s="3" t="s">
        <v>1321</v>
      </c>
      <c r="D216" s="3" t="s">
        <v>1322</v>
      </c>
      <c r="E216" s="3" t="s">
        <v>19</v>
      </c>
      <c r="F216" s="3" t="s">
        <v>355</v>
      </c>
      <c r="G216" s="3" t="s">
        <v>39</v>
      </c>
      <c r="H216" s="3" t="s">
        <v>90</v>
      </c>
      <c r="I216" s="3" t="s">
        <v>110</v>
      </c>
      <c r="J216" s="3" t="s">
        <v>111</v>
      </c>
      <c r="K216" s="3" t="s">
        <v>33</v>
      </c>
      <c r="L216" s="3" t="s">
        <v>34</v>
      </c>
      <c r="M216" s="3" t="s">
        <v>35</v>
      </c>
      <c r="N216" s="3">
        <v>3</v>
      </c>
      <c r="O216" s="3">
        <v>0.4</v>
      </c>
      <c r="P216" s="3">
        <v>556.02</v>
      </c>
      <c r="Q216" s="3">
        <v>155.72</v>
      </c>
    </row>
    <row r="217" spans="1:17" x14ac:dyDescent="0.3">
      <c r="A217" s="3">
        <v>214</v>
      </c>
      <c r="B217" s="3" t="s">
        <v>492</v>
      </c>
      <c r="C217" s="3" t="s">
        <v>1323</v>
      </c>
      <c r="D217" s="3" t="s">
        <v>1324</v>
      </c>
      <c r="E217" s="3" t="s">
        <v>37</v>
      </c>
      <c r="F217" s="3" t="s">
        <v>493</v>
      </c>
      <c r="G217" s="3" t="s">
        <v>30</v>
      </c>
      <c r="H217" s="3" t="s">
        <v>46</v>
      </c>
      <c r="I217" s="3" t="s">
        <v>146</v>
      </c>
      <c r="J217" s="3" t="s">
        <v>147</v>
      </c>
      <c r="K217" s="3" t="s">
        <v>25</v>
      </c>
      <c r="L217" s="3" t="s">
        <v>80</v>
      </c>
      <c r="M217" s="3" t="s">
        <v>150</v>
      </c>
      <c r="N217" s="3">
        <v>5</v>
      </c>
      <c r="O217" s="3">
        <v>0.3</v>
      </c>
      <c r="P217" s="3">
        <v>214.74</v>
      </c>
      <c r="Q217" s="3">
        <v>-27.99</v>
      </c>
    </row>
    <row r="218" spans="1:17" x14ac:dyDescent="0.3">
      <c r="A218" s="3">
        <v>215</v>
      </c>
      <c r="B218" s="3" t="s">
        <v>494</v>
      </c>
      <c r="C218" s="3" t="s">
        <v>1325</v>
      </c>
      <c r="D218" s="3" t="s">
        <v>1204</v>
      </c>
      <c r="E218" s="3" t="s">
        <v>56</v>
      </c>
      <c r="F218" s="3" t="s">
        <v>415</v>
      </c>
      <c r="G218" s="3" t="s">
        <v>21</v>
      </c>
      <c r="H218" s="3" t="s">
        <v>90</v>
      </c>
      <c r="I218" s="3" t="s">
        <v>91</v>
      </c>
      <c r="J218" s="3" t="s">
        <v>92</v>
      </c>
      <c r="K218" s="3" t="s">
        <v>58</v>
      </c>
      <c r="L218" s="3" t="s">
        <v>199</v>
      </c>
      <c r="M218" s="3" t="s">
        <v>205</v>
      </c>
      <c r="N218" s="3">
        <v>7</v>
      </c>
      <c r="O218" s="3">
        <v>0</v>
      </c>
      <c r="P218" s="3">
        <v>1099.73</v>
      </c>
      <c r="Q218" s="3">
        <v>-64.52</v>
      </c>
    </row>
    <row r="219" spans="1:17" x14ac:dyDescent="0.3">
      <c r="A219" s="3">
        <v>216</v>
      </c>
      <c r="B219" s="3" t="s">
        <v>495</v>
      </c>
      <c r="C219" s="3" t="s">
        <v>1159</v>
      </c>
      <c r="D219" s="3" t="s">
        <v>1326</v>
      </c>
      <c r="E219" s="3" t="s">
        <v>19</v>
      </c>
      <c r="F219" s="3" t="s">
        <v>496</v>
      </c>
      <c r="G219" s="3" t="s">
        <v>30</v>
      </c>
      <c r="H219" s="3" t="s">
        <v>46</v>
      </c>
      <c r="I219" s="3" t="s">
        <v>47</v>
      </c>
      <c r="J219" s="3" t="s">
        <v>48</v>
      </c>
      <c r="K219" s="3" t="s">
        <v>58</v>
      </c>
      <c r="L219" s="3" t="s">
        <v>86</v>
      </c>
      <c r="M219" s="3" t="s">
        <v>87</v>
      </c>
      <c r="N219" s="3">
        <v>4</v>
      </c>
      <c r="O219" s="3">
        <v>0</v>
      </c>
      <c r="P219" s="3">
        <v>621.07000000000005</v>
      </c>
      <c r="Q219" s="3">
        <v>129.44999999999999</v>
      </c>
    </row>
    <row r="220" spans="1:17" x14ac:dyDescent="0.3">
      <c r="A220" s="3">
        <v>217</v>
      </c>
      <c r="B220" s="3" t="s">
        <v>497</v>
      </c>
      <c r="C220" s="3" t="s">
        <v>1327</v>
      </c>
      <c r="D220" s="3" t="s">
        <v>1328</v>
      </c>
      <c r="E220" s="3" t="s">
        <v>37</v>
      </c>
      <c r="F220" s="3" t="s">
        <v>498</v>
      </c>
      <c r="G220" s="3" t="s">
        <v>30</v>
      </c>
      <c r="H220" s="3" t="s">
        <v>40</v>
      </c>
      <c r="I220" s="3" t="s">
        <v>114</v>
      </c>
      <c r="J220" s="3" t="s">
        <v>115</v>
      </c>
      <c r="K220" s="3" t="s">
        <v>25</v>
      </c>
      <c r="L220" s="3" t="s">
        <v>53</v>
      </c>
      <c r="M220" s="3" t="s">
        <v>171</v>
      </c>
      <c r="N220" s="3">
        <v>1</v>
      </c>
      <c r="O220" s="3">
        <v>0.2</v>
      </c>
      <c r="P220" s="3">
        <v>79.91</v>
      </c>
      <c r="Q220" s="3">
        <v>25.45</v>
      </c>
    </row>
    <row r="221" spans="1:17" x14ac:dyDescent="0.3">
      <c r="A221" s="3">
        <v>218</v>
      </c>
      <c r="B221" s="3" t="s">
        <v>499</v>
      </c>
      <c r="C221" s="3" t="s">
        <v>1329</v>
      </c>
      <c r="D221" s="3" t="s">
        <v>1330</v>
      </c>
      <c r="E221" s="3" t="s">
        <v>19</v>
      </c>
      <c r="F221" s="3" t="s">
        <v>441</v>
      </c>
      <c r="G221" s="3" t="s">
        <v>39</v>
      </c>
      <c r="H221" s="3" t="s">
        <v>40</v>
      </c>
      <c r="I221" s="3" t="s">
        <v>185</v>
      </c>
      <c r="J221" s="3" t="s">
        <v>186</v>
      </c>
      <c r="K221" s="3" t="s">
        <v>33</v>
      </c>
      <c r="L221" s="3" t="s">
        <v>49</v>
      </c>
      <c r="M221" s="3" t="s">
        <v>208</v>
      </c>
      <c r="N221" s="3">
        <v>1</v>
      </c>
      <c r="O221" s="3">
        <v>0</v>
      </c>
      <c r="P221" s="3">
        <v>380.35</v>
      </c>
      <c r="Q221" s="3">
        <v>-19.38</v>
      </c>
    </row>
    <row r="222" spans="1:17" x14ac:dyDescent="0.3">
      <c r="A222" s="3">
        <v>219</v>
      </c>
      <c r="B222" s="3" t="s">
        <v>500</v>
      </c>
      <c r="C222" s="3" t="s">
        <v>1331</v>
      </c>
      <c r="D222" s="3" t="s">
        <v>1332</v>
      </c>
      <c r="E222" s="3" t="s">
        <v>37</v>
      </c>
      <c r="F222" s="3" t="s">
        <v>501</v>
      </c>
      <c r="G222" s="3" t="s">
        <v>30</v>
      </c>
      <c r="H222" s="3" t="s">
        <v>46</v>
      </c>
      <c r="I222" s="3" t="s">
        <v>257</v>
      </c>
      <c r="J222" s="3" t="s">
        <v>258</v>
      </c>
      <c r="K222" s="3" t="s">
        <v>33</v>
      </c>
      <c r="L222" s="3" t="s">
        <v>95</v>
      </c>
      <c r="M222" s="3" t="s">
        <v>262</v>
      </c>
      <c r="N222" s="3">
        <v>6</v>
      </c>
      <c r="O222" s="3">
        <v>0.2</v>
      </c>
      <c r="P222" s="3">
        <v>3797.85</v>
      </c>
      <c r="Q222" s="3">
        <v>655.98</v>
      </c>
    </row>
    <row r="223" spans="1:17" x14ac:dyDescent="0.3">
      <c r="A223" s="3">
        <v>220</v>
      </c>
      <c r="B223" s="3" t="s">
        <v>502</v>
      </c>
      <c r="C223" s="3" t="s">
        <v>1333</v>
      </c>
      <c r="D223" s="3" t="s">
        <v>1334</v>
      </c>
      <c r="E223" s="3" t="s">
        <v>37</v>
      </c>
      <c r="F223" s="3" t="s">
        <v>292</v>
      </c>
      <c r="G223" s="3" t="s">
        <v>39</v>
      </c>
      <c r="H223" s="3" t="s">
        <v>46</v>
      </c>
      <c r="I223" s="3" t="s">
        <v>78</v>
      </c>
      <c r="J223" s="3" t="s">
        <v>79</v>
      </c>
      <c r="K223" s="3" t="s">
        <v>58</v>
      </c>
      <c r="L223" s="3" t="s">
        <v>217</v>
      </c>
      <c r="M223" s="3" t="s">
        <v>218</v>
      </c>
      <c r="N223" s="3">
        <v>3</v>
      </c>
      <c r="O223" s="3">
        <v>0.2</v>
      </c>
      <c r="P223" s="3">
        <v>1021.9</v>
      </c>
      <c r="Q223" s="3">
        <v>-118.6</v>
      </c>
    </row>
    <row r="224" spans="1:17" x14ac:dyDescent="0.3">
      <c r="A224" s="3">
        <v>221</v>
      </c>
      <c r="B224" s="3" t="s">
        <v>503</v>
      </c>
      <c r="C224" s="3" t="s">
        <v>1335</v>
      </c>
      <c r="D224" s="3" t="s">
        <v>1336</v>
      </c>
      <c r="E224" s="3" t="s">
        <v>62</v>
      </c>
      <c r="F224" s="3" t="s">
        <v>504</v>
      </c>
      <c r="G224" s="3" t="s">
        <v>39</v>
      </c>
      <c r="H224" s="3" t="s">
        <v>40</v>
      </c>
      <c r="I224" s="3" t="s">
        <v>114</v>
      </c>
      <c r="J224" s="3" t="s">
        <v>115</v>
      </c>
      <c r="K224" s="3" t="s">
        <v>25</v>
      </c>
      <c r="L224" s="3" t="s">
        <v>53</v>
      </c>
      <c r="M224" s="3" t="s">
        <v>171</v>
      </c>
      <c r="N224" s="3">
        <v>13</v>
      </c>
      <c r="O224" s="3">
        <v>0</v>
      </c>
      <c r="P224" s="3">
        <v>1506.59</v>
      </c>
      <c r="Q224" s="3">
        <v>-212.05</v>
      </c>
    </row>
    <row r="225" spans="1:17" x14ac:dyDescent="0.3">
      <c r="A225" s="3">
        <v>222</v>
      </c>
      <c r="B225" s="3" t="s">
        <v>505</v>
      </c>
      <c r="C225" s="3" t="s">
        <v>1337</v>
      </c>
      <c r="D225" s="3" t="s">
        <v>1338</v>
      </c>
      <c r="E225" s="3" t="s">
        <v>19</v>
      </c>
      <c r="F225" s="3" t="s">
        <v>190</v>
      </c>
      <c r="G225" s="3" t="s">
        <v>30</v>
      </c>
      <c r="H225" s="3" t="s">
        <v>90</v>
      </c>
      <c r="I225" s="3" t="s">
        <v>104</v>
      </c>
      <c r="J225" s="3" t="s">
        <v>105</v>
      </c>
      <c r="K225" s="3" t="s">
        <v>25</v>
      </c>
      <c r="L225" s="3" t="s">
        <v>116</v>
      </c>
      <c r="M225" s="3" t="s">
        <v>202</v>
      </c>
      <c r="N225" s="3">
        <v>3</v>
      </c>
      <c r="O225" s="3">
        <v>0</v>
      </c>
      <c r="P225" s="3">
        <v>231.21</v>
      </c>
      <c r="Q225" s="3">
        <v>56.18</v>
      </c>
    </row>
    <row r="226" spans="1:17" x14ac:dyDescent="0.3">
      <c r="A226" s="3">
        <v>223</v>
      </c>
      <c r="B226" s="3" t="s">
        <v>506</v>
      </c>
      <c r="C226" s="3" t="s">
        <v>1339</v>
      </c>
      <c r="D226" s="3" t="s">
        <v>1340</v>
      </c>
      <c r="E226" s="3" t="s">
        <v>56</v>
      </c>
      <c r="F226" s="3" t="s">
        <v>507</v>
      </c>
      <c r="G226" s="3" t="s">
        <v>30</v>
      </c>
      <c r="H226" s="3" t="s">
        <v>40</v>
      </c>
      <c r="I226" s="3" t="s">
        <v>158</v>
      </c>
      <c r="J226" s="3" t="s">
        <v>159</v>
      </c>
      <c r="K226" s="3" t="s">
        <v>25</v>
      </c>
      <c r="L226" s="3" t="s">
        <v>116</v>
      </c>
      <c r="M226" s="3" t="s">
        <v>117</v>
      </c>
      <c r="N226" s="3">
        <v>7</v>
      </c>
      <c r="O226" s="3">
        <v>0.3</v>
      </c>
      <c r="P226" s="3">
        <v>342.13</v>
      </c>
      <c r="Q226" s="3">
        <v>113.4</v>
      </c>
    </row>
    <row r="227" spans="1:17" x14ac:dyDescent="0.3">
      <c r="A227" s="3">
        <v>224</v>
      </c>
      <c r="B227" s="3" t="s">
        <v>508</v>
      </c>
      <c r="C227" s="3" t="s">
        <v>936</v>
      </c>
      <c r="D227" s="3" t="s">
        <v>1341</v>
      </c>
      <c r="E227" s="3" t="s">
        <v>19</v>
      </c>
      <c r="F227" s="3" t="s">
        <v>198</v>
      </c>
      <c r="G227" s="3" t="s">
        <v>30</v>
      </c>
      <c r="H227" s="3" t="s">
        <v>22</v>
      </c>
      <c r="I227" s="3" t="s">
        <v>84</v>
      </c>
      <c r="J227" s="3" t="s">
        <v>85</v>
      </c>
      <c r="K227" s="3" t="s">
        <v>58</v>
      </c>
      <c r="L227" s="3" t="s">
        <v>86</v>
      </c>
      <c r="M227" s="3" t="s">
        <v>87</v>
      </c>
      <c r="N227" s="3">
        <v>13</v>
      </c>
      <c r="O227" s="3">
        <v>0.15</v>
      </c>
      <c r="P227" s="3">
        <v>5307.52</v>
      </c>
      <c r="Q227" s="3">
        <v>-1262.94</v>
      </c>
    </row>
    <row r="228" spans="1:17" x14ac:dyDescent="0.3">
      <c r="A228" s="3">
        <v>225</v>
      </c>
      <c r="B228" s="3" t="s">
        <v>509</v>
      </c>
      <c r="C228" s="3" t="s">
        <v>1342</v>
      </c>
      <c r="D228" s="3" t="s">
        <v>1343</v>
      </c>
      <c r="E228" s="3" t="s">
        <v>62</v>
      </c>
      <c r="F228" s="3" t="s">
        <v>510</v>
      </c>
      <c r="G228" s="3" t="s">
        <v>21</v>
      </c>
      <c r="H228" s="3" t="s">
        <v>90</v>
      </c>
      <c r="I228" s="3" t="s">
        <v>104</v>
      </c>
      <c r="J228" s="3" t="s">
        <v>105</v>
      </c>
      <c r="K228" s="3" t="s">
        <v>25</v>
      </c>
      <c r="L228" s="3" t="s">
        <v>80</v>
      </c>
      <c r="M228" s="3" t="s">
        <v>81</v>
      </c>
      <c r="N228" s="3">
        <v>10</v>
      </c>
      <c r="O228" s="3">
        <v>0</v>
      </c>
      <c r="P228" s="3">
        <v>1074.01</v>
      </c>
      <c r="Q228" s="3">
        <v>9.44</v>
      </c>
    </row>
    <row r="229" spans="1:17" x14ac:dyDescent="0.3">
      <c r="A229" s="3">
        <v>226</v>
      </c>
      <c r="B229" s="3" t="s">
        <v>511</v>
      </c>
      <c r="C229" s="3" t="s">
        <v>1344</v>
      </c>
      <c r="D229" s="3" t="s">
        <v>1345</v>
      </c>
      <c r="E229" s="3" t="s">
        <v>56</v>
      </c>
      <c r="F229" s="3" t="s">
        <v>294</v>
      </c>
      <c r="G229" s="3" t="s">
        <v>21</v>
      </c>
      <c r="H229" s="3" t="s">
        <v>22</v>
      </c>
      <c r="I229" s="3" t="s">
        <v>72</v>
      </c>
      <c r="J229" s="3" t="s">
        <v>73</v>
      </c>
      <c r="K229" s="3" t="s">
        <v>33</v>
      </c>
      <c r="L229" s="3" t="s">
        <v>95</v>
      </c>
      <c r="M229" s="3" t="s">
        <v>120</v>
      </c>
      <c r="N229" s="3">
        <v>12</v>
      </c>
      <c r="O229" s="3">
        <v>0.15</v>
      </c>
      <c r="P229" s="3">
        <v>7446.27</v>
      </c>
      <c r="Q229" s="3">
        <v>1089.83</v>
      </c>
    </row>
    <row r="230" spans="1:17" x14ac:dyDescent="0.3">
      <c r="A230" s="3">
        <v>227</v>
      </c>
      <c r="B230" s="3" t="s">
        <v>512</v>
      </c>
      <c r="C230" s="3" t="s">
        <v>1346</v>
      </c>
      <c r="D230" s="3" t="s">
        <v>1347</v>
      </c>
      <c r="E230" s="3" t="s">
        <v>37</v>
      </c>
      <c r="F230" s="3" t="s">
        <v>513</v>
      </c>
      <c r="G230" s="3" t="s">
        <v>39</v>
      </c>
      <c r="H230" s="3" t="s">
        <v>90</v>
      </c>
      <c r="I230" s="3" t="s">
        <v>104</v>
      </c>
      <c r="J230" s="3" t="s">
        <v>105</v>
      </c>
      <c r="K230" s="3" t="s">
        <v>33</v>
      </c>
      <c r="L230" s="3" t="s">
        <v>49</v>
      </c>
      <c r="M230" s="3" t="s">
        <v>478</v>
      </c>
      <c r="N230" s="3">
        <v>14</v>
      </c>
      <c r="O230" s="3">
        <v>0.4</v>
      </c>
      <c r="P230" s="3">
        <v>5813.36</v>
      </c>
      <c r="Q230" s="3">
        <v>-756.87</v>
      </c>
    </row>
    <row r="231" spans="1:17" x14ac:dyDescent="0.3">
      <c r="A231" s="3">
        <v>228</v>
      </c>
      <c r="B231" s="3" t="s">
        <v>514</v>
      </c>
      <c r="C231" s="3" t="s">
        <v>1192</v>
      </c>
      <c r="D231" s="3" t="s">
        <v>1348</v>
      </c>
      <c r="E231" s="3" t="s">
        <v>62</v>
      </c>
      <c r="F231" s="3" t="s">
        <v>515</v>
      </c>
      <c r="G231" s="3" t="s">
        <v>30</v>
      </c>
      <c r="H231" s="3" t="s">
        <v>22</v>
      </c>
      <c r="I231" s="3" t="s">
        <v>84</v>
      </c>
      <c r="J231" s="3" t="s">
        <v>85</v>
      </c>
      <c r="K231" s="3" t="s">
        <v>58</v>
      </c>
      <c r="L231" s="3" t="s">
        <v>199</v>
      </c>
      <c r="M231" s="3" t="s">
        <v>200</v>
      </c>
      <c r="N231" s="3">
        <v>11</v>
      </c>
      <c r="O231" s="3">
        <v>0.3</v>
      </c>
      <c r="P231" s="3">
        <v>1547.07</v>
      </c>
      <c r="Q231" s="3">
        <v>-215.15</v>
      </c>
    </row>
    <row r="232" spans="1:17" x14ac:dyDescent="0.3">
      <c r="A232" s="3">
        <v>229</v>
      </c>
      <c r="B232" s="3" t="s">
        <v>516</v>
      </c>
      <c r="C232" s="3" t="s">
        <v>1349</v>
      </c>
      <c r="D232" s="3" t="s">
        <v>1350</v>
      </c>
      <c r="E232" s="3" t="s">
        <v>19</v>
      </c>
      <c r="F232" s="3" t="s">
        <v>130</v>
      </c>
      <c r="G232" s="3" t="s">
        <v>39</v>
      </c>
      <c r="H232" s="3" t="s">
        <v>46</v>
      </c>
      <c r="I232" s="3" t="s">
        <v>146</v>
      </c>
      <c r="J232" s="3" t="s">
        <v>147</v>
      </c>
      <c r="K232" s="3" t="s">
        <v>25</v>
      </c>
      <c r="L232" s="3" t="s">
        <v>26</v>
      </c>
      <c r="M232" s="3" t="s">
        <v>259</v>
      </c>
      <c r="N232" s="3">
        <v>3</v>
      </c>
      <c r="O232" s="3">
        <v>0</v>
      </c>
      <c r="P232" s="3">
        <v>272.29000000000002</v>
      </c>
      <c r="Q232" s="3">
        <v>-54.07</v>
      </c>
    </row>
    <row r="233" spans="1:17" x14ac:dyDescent="0.3">
      <c r="A233" s="3">
        <v>230</v>
      </c>
      <c r="B233" s="3" t="s">
        <v>517</v>
      </c>
      <c r="C233" s="3" t="s">
        <v>1351</v>
      </c>
      <c r="D233" s="3" t="s">
        <v>1352</v>
      </c>
      <c r="E233" s="3" t="s">
        <v>19</v>
      </c>
      <c r="F233" s="3" t="s">
        <v>266</v>
      </c>
      <c r="G233" s="3" t="s">
        <v>39</v>
      </c>
      <c r="H233" s="3" t="s">
        <v>22</v>
      </c>
      <c r="I233" s="3" t="s">
        <v>84</v>
      </c>
      <c r="J233" s="3" t="s">
        <v>85</v>
      </c>
      <c r="K233" s="3" t="s">
        <v>58</v>
      </c>
      <c r="L233" s="3" t="s">
        <v>217</v>
      </c>
      <c r="M233" s="3" t="s">
        <v>218</v>
      </c>
      <c r="N233" s="3">
        <v>8</v>
      </c>
      <c r="O233" s="3">
        <v>0.3</v>
      </c>
      <c r="P233" s="3">
        <v>1240.95</v>
      </c>
      <c r="Q233" s="3">
        <v>361.94</v>
      </c>
    </row>
    <row r="234" spans="1:17" x14ac:dyDescent="0.3">
      <c r="A234" s="3">
        <v>231</v>
      </c>
      <c r="B234" s="3" t="s">
        <v>518</v>
      </c>
      <c r="C234" s="3" t="s">
        <v>1353</v>
      </c>
      <c r="D234" s="3" t="s">
        <v>992</v>
      </c>
      <c r="E234" s="3" t="s">
        <v>62</v>
      </c>
      <c r="F234" s="3" t="s">
        <v>519</v>
      </c>
      <c r="G234" s="3" t="s">
        <v>30</v>
      </c>
      <c r="H234" s="3" t="s">
        <v>22</v>
      </c>
      <c r="I234" s="3" t="s">
        <v>84</v>
      </c>
      <c r="J234" s="3" t="s">
        <v>85</v>
      </c>
      <c r="K234" s="3" t="s">
        <v>33</v>
      </c>
      <c r="L234" s="3" t="s">
        <v>95</v>
      </c>
      <c r="M234" s="3" t="s">
        <v>370</v>
      </c>
      <c r="N234" s="3">
        <v>1</v>
      </c>
      <c r="O234" s="3">
        <v>0.3</v>
      </c>
      <c r="P234" s="3">
        <v>282.81</v>
      </c>
      <c r="Q234" s="3">
        <v>-36.44</v>
      </c>
    </row>
    <row r="235" spans="1:17" x14ac:dyDescent="0.3">
      <c r="A235" s="3">
        <v>232</v>
      </c>
      <c r="B235" s="3" t="s">
        <v>520</v>
      </c>
      <c r="C235" s="3" t="s">
        <v>1354</v>
      </c>
      <c r="D235" s="3" t="s">
        <v>1355</v>
      </c>
      <c r="E235" s="3" t="s">
        <v>19</v>
      </c>
      <c r="F235" s="3" t="s">
        <v>462</v>
      </c>
      <c r="G235" s="3" t="s">
        <v>21</v>
      </c>
      <c r="H235" s="3" t="s">
        <v>22</v>
      </c>
      <c r="I235" s="3" t="s">
        <v>84</v>
      </c>
      <c r="J235" s="3" t="s">
        <v>85</v>
      </c>
      <c r="K235" s="3" t="s">
        <v>25</v>
      </c>
      <c r="L235" s="3" t="s">
        <v>80</v>
      </c>
      <c r="M235" s="3" t="s">
        <v>150</v>
      </c>
      <c r="N235" s="3">
        <v>8</v>
      </c>
      <c r="O235" s="3">
        <v>0</v>
      </c>
      <c r="P235" s="3">
        <v>881.8</v>
      </c>
      <c r="Q235" s="3">
        <v>195.7</v>
      </c>
    </row>
    <row r="236" spans="1:17" x14ac:dyDescent="0.3">
      <c r="A236" s="3">
        <v>233</v>
      </c>
      <c r="B236" s="3" t="s">
        <v>521</v>
      </c>
      <c r="C236" s="3" t="s">
        <v>1356</v>
      </c>
      <c r="D236" s="3" t="s">
        <v>1259</v>
      </c>
      <c r="E236" s="3" t="s">
        <v>56</v>
      </c>
      <c r="F236" s="3" t="s">
        <v>210</v>
      </c>
      <c r="G236" s="3" t="s">
        <v>30</v>
      </c>
      <c r="H236" s="3" t="s">
        <v>22</v>
      </c>
      <c r="I236" s="3" t="s">
        <v>23</v>
      </c>
      <c r="J236" s="3" t="s">
        <v>24</v>
      </c>
      <c r="K236" s="3" t="s">
        <v>25</v>
      </c>
      <c r="L236" s="3" t="s">
        <v>116</v>
      </c>
      <c r="M236" s="3" t="s">
        <v>166</v>
      </c>
      <c r="N236" s="3">
        <v>7</v>
      </c>
      <c r="O236" s="3">
        <v>0.4</v>
      </c>
      <c r="P236" s="3">
        <v>204.32</v>
      </c>
      <c r="Q236" s="3">
        <v>19.05</v>
      </c>
    </row>
    <row r="237" spans="1:17" x14ac:dyDescent="0.3">
      <c r="A237" s="3">
        <v>234</v>
      </c>
      <c r="B237" s="3" t="s">
        <v>522</v>
      </c>
      <c r="C237" s="3" t="s">
        <v>1357</v>
      </c>
      <c r="D237" s="3" t="s">
        <v>1358</v>
      </c>
      <c r="E237" s="3" t="s">
        <v>37</v>
      </c>
      <c r="F237" s="3" t="s">
        <v>523</v>
      </c>
      <c r="G237" s="3" t="s">
        <v>30</v>
      </c>
      <c r="H237" s="3" t="s">
        <v>40</v>
      </c>
      <c r="I237" s="3" t="s">
        <v>223</v>
      </c>
      <c r="J237" s="3" t="s">
        <v>224</v>
      </c>
      <c r="K237" s="3" t="s">
        <v>25</v>
      </c>
      <c r="L237" s="3" t="s">
        <v>53</v>
      </c>
      <c r="M237" s="3" t="s">
        <v>54</v>
      </c>
      <c r="N237" s="3">
        <v>6</v>
      </c>
      <c r="O237" s="3">
        <v>0</v>
      </c>
      <c r="P237" s="3">
        <v>500.88</v>
      </c>
      <c r="Q237" s="3">
        <v>98.9</v>
      </c>
    </row>
    <row r="238" spans="1:17" x14ac:dyDescent="0.3">
      <c r="A238" s="3">
        <v>235</v>
      </c>
      <c r="B238" s="3" t="s">
        <v>524</v>
      </c>
      <c r="C238" s="3" t="s">
        <v>1359</v>
      </c>
      <c r="D238" s="3" t="s">
        <v>1360</v>
      </c>
      <c r="E238" s="3" t="s">
        <v>56</v>
      </c>
      <c r="F238" s="3" t="s">
        <v>525</v>
      </c>
      <c r="G238" s="3" t="s">
        <v>21</v>
      </c>
      <c r="H238" s="3" t="s">
        <v>46</v>
      </c>
      <c r="I238" s="3" t="s">
        <v>281</v>
      </c>
      <c r="J238" s="3" t="s">
        <v>282</v>
      </c>
      <c r="K238" s="3" t="s">
        <v>58</v>
      </c>
      <c r="L238" s="3" t="s">
        <v>59</v>
      </c>
      <c r="M238" s="3" t="s">
        <v>60</v>
      </c>
      <c r="N238" s="3">
        <v>12</v>
      </c>
      <c r="O238" s="3">
        <v>0.2</v>
      </c>
      <c r="P238" s="3">
        <v>2687.6</v>
      </c>
      <c r="Q238" s="3">
        <v>-237.44</v>
      </c>
    </row>
    <row r="239" spans="1:17" x14ac:dyDescent="0.3">
      <c r="A239" s="3">
        <v>236</v>
      </c>
      <c r="B239" s="3" t="s">
        <v>526</v>
      </c>
      <c r="C239" s="3" t="s">
        <v>1104</v>
      </c>
      <c r="D239" s="3" t="s">
        <v>1361</v>
      </c>
      <c r="E239" s="3" t="s">
        <v>62</v>
      </c>
      <c r="F239" s="3" t="s">
        <v>527</v>
      </c>
      <c r="G239" s="3" t="s">
        <v>39</v>
      </c>
      <c r="H239" s="3" t="s">
        <v>40</v>
      </c>
      <c r="I239" s="3" t="s">
        <v>185</v>
      </c>
      <c r="J239" s="3" t="s">
        <v>186</v>
      </c>
      <c r="K239" s="3" t="s">
        <v>25</v>
      </c>
      <c r="L239" s="3" t="s">
        <v>80</v>
      </c>
      <c r="M239" s="3" t="s">
        <v>150</v>
      </c>
      <c r="N239" s="3">
        <v>13</v>
      </c>
      <c r="O239" s="3">
        <v>0.15</v>
      </c>
      <c r="P239" s="3">
        <v>257.72000000000003</v>
      </c>
      <c r="Q239" s="3">
        <v>45.29</v>
      </c>
    </row>
    <row r="240" spans="1:17" x14ac:dyDescent="0.3">
      <c r="A240" s="3">
        <v>237</v>
      </c>
      <c r="B240" s="3" t="s">
        <v>528</v>
      </c>
      <c r="C240" s="3" t="s">
        <v>1362</v>
      </c>
      <c r="D240" s="3" t="s">
        <v>961</v>
      </c>
      <c r="E240" s="3" t="s">
        <v>56</v>
      </c>
      <c r="F240" s="3" t="s">
        <v>192</v>
      </c>
      <c r="G240" s="3" t="s">
        <v>39</v>
      </c>
      <c r="H240" s="3" t="s">
        <v>40</v>
      </c>
      <c r="I240" s="3" t="s">
        <v>114</v>
      </c>
      <c r="J240" s="3" t="s">
        <v>115</v>
      </c>
      <c r="K240" s="3" t="s">
        <v>58</v>
      </c>
      <c r="L240" s="3" t="s">
        <v>86</v>
      </c>
      <c r="M240" s="3" t="s">
        <v>87</v>
      </c>
      <c r="N240" s="3">
        <v>8</v>
      </c>
      <c r="O240" s="3">
        <v>0.2</v>
      </c>
      <c r="P240" s="3">
        <v>404.3</v>
      </c>
      <c r="Q240" s="3">
        <v>69.86</v>
      </c>
    </row>
    <row r="241" spans="1:17" x14ac:dyDescent="0.3">
      <c r="A241" s="3">
        <v>238</v>
      </c>
      <c r="B241" s="3" t="s">
        <v>529</v>
      </c>
      <c r="C241" s="3" t="s">
        <v>1363</v>
      </c>
      <c r="D241" s="3" t="s">
        <v>1253</v>
      </c>
      <c r="E241" s="3" t="s">
        <v>56</v>
      </c>
      <c r="F241" s="3" t="s">
        <v>149</v>
      </c>
      <c r="G241" s="3" t="s">
        <v>21</v>
      </c>
      <c r="H241" s="3" t="s">
        <v>22</v>
      </c>
      <c r="I241" s="3" t="s">
        <v>23</v>
      </c>
      <c r="J241" s="3" t="s">
        <v>24</v>
      </c>
      <c r="K241" s="3" t="s">
        <v>25</v>
      </c>
      <c r="L241" s="3" t="s">
        <v>74</v>
      </c>
      <c r="M241" s="3" t="s">
        <v>101</v>
      </c>
      <c r="N241" s="3">
        <v>14</v>
      </c>
      <c r="O241" s="3">
        <v>0.2</v>
      </c>
      <c r="P241" s="3">
        <v>763.29</v>
      </c>
      <c r="Q241" s="3">
        <v>-33.17</v>
      </c>
    </row>
    <row r="242" spans="1:17" x14ac:dyDescent="0.3">
      <c r="A242" s="3">
        <v>239</v>
      </c>
      <c r="B242" s="3" t="s">
        <v>530</v>
      </c>
      <c r="C242" s="3" t="s">
        <v>1251</v>
      </c>
      <c r="D242" s="3" t="s">
        <v>1364</v>
      </c>
      <c r="E242" s="3" t="s">
        <v>19</v>
      </c>
      <c r="F242" s="3" t="s">
        <v>429</v>
      </c>
      <c r="G242" s="3" t="s">
        <v>39</v>
      </c>
      <c r="H242" s="3" t="s">
        <v>22</v>
      </c>
      <c r="I242" s="3" t="s">
        <v>68</v>
      </c>
      <c r="J242" s="3" t="s">
        <v>69</v>
      </c>
      <c r="K242" s="3" t="s">
        <v>58</v>
      </c>
      <c r="L242" s="3" t="s">
        <v>86</v>
      </c>
      <c r="M242" s="3" t="s">
        <v>87</v>
      </c>
      <c r="N242" s="3">
        <v>11</v>
      </c>
      <c r="O242" s="3">
        <v>0.3</v>
      </c>
      <c r="P242" s="3">
        <v>1272.9100000000001</v>
      </c>
      <c r="Q242" s="3">
        <v>73.790000000000006</v>
      </c>
    </row>
    <row r="243" spans="1:17" x14ac:dyDescent="0.3">
      <c r="A243" s="3">
        <v>240</v>
      </c>
      <c r="B243" s="3" t="s">
        <v>531</v>
      </c>
      <c r="C243" s="3" t="s">
        <v>1365</v>
      </c>
      <c r="D243" s="3" t="s">
        <v>1366</v>
      </c>
      <c r="E243" s="3" t="s">
        <v>37</v>
      </c>
      <c r="F243" s="3" t="s">
        <v>532</v>
      </c>
      <c r="G243" s="3" t="s">
        <v>30</v>
      </c>
      <c r="H243" s="3" t="s">
        <v>22</v>
      </c>
      <c r="I243" s="3" t="s">
        <v>68</v>
      </c>
      <c r="J243" s="3" t="s">
        <v>69</v>
      </c>
      <c r="K243" s="3" t="s">
        <v>25</v>
      </c>
      <c r="L243" s="3" t="s">
        <v>106</v>
      </c>
      <c r="M243" s="3" t="s">
        <v>136</v>
      </c>
      <c r="N243" s="3">
        <v>5</v>
      </c>
      <c r="O243" s="3">
        <v>0.3</v>
      </c>
      <c r="P243" s="3">
        <v>236.64</v>
      </c>
      <c r="Q243" s="3">
        <v>61.75</v>
      </c>
    </row>
    <row r="244" spans="1:17" x14ac:dyDescent="0.3">
      <c r="A244" s="3">
        <v>241</v>
      </c>
      <c r="B244" s="3" t="s">
        <v>533</v>
      </c>
      <c r="C244" s="3" t="s">
        <v>1251</v>
      </c>
      <c r="D244" s="3" t="s">
        <v>1252</v>
      </c>
      <c r="E244" s="3" t="s">
        <v>37</v>
      </c>
      <c r="F244" s="3" t="s">
        <v>534</v>
      </c>
      <c r="G244" s="3" t="s">
        <v>30</v>
      </c>
      <c r="H244" s="3" t="s">
        <v>90</v>
      </c>
      <c r="I244" s="3" t="s">
        <v>91</v>
      </c>
      <c r="J244" s="3" t="s">
        <v>92</v>
      </c>
      <c r="K244" s="3" t="s">
        <v>33</v>
      </c>
      <c r="L244" s="3" t="s">
        <v>64</v>
      </c>
      <c r="M244" s="3" t="s">
        <v>65</v>
      </c>
      <c r="N244" s="3">
        <v>10</v>
      </c>
      <c r="O244" s="3">
        <v>0</v>
      </c>
      <c r="P244" s="3">
        <v>2158.0700000000002</v>
      </c>
      <c r="Q244" s="3">
        <v>84.26</v>
      </c>
    </row>
    <row r="245" spans="1:17" x14ac:dyDescent="0.3">
      <c r="A245" s="3">
        <v>242</v>
      </c>
      <c r="B245" s="3" t="s">
        <v>535</v>
      </c>
      <c r="C245" s="3" t="s">
        <v>1367</v>
      </c>
      <c r="D245" s="3" t="s">
        <v>1329</v>
      </c>
      <c r="E245" s="3" t="s">
        <v>56</v>
      </c>
      <c r="F245" s="3" t="s">
        <v>401</v>
      </c>
      <c r="G245" s="3" t="s">
        <v>30</v>
      </c>
      <c r="H245" s="3" t="s">
        <v>46</v>
      </c>
      <c r="I245" s="3" t="s">
        <v>78</v>
      </c>
      <c r="J245" s="3" t="s">
        <v>79</v>
      </c>
      <c r="K245" s="3" t="s">
        <v>33</v>
      </c>
      <c r="L245" s="3" t="s">
        <v>95</v>
      </c>
      <c r="M245" s="3" t="s">
        <v>262</v>
      </c>
      <c r="N245" s="3">
        <v>11</v>
      </c>
      <c r="O245" s="3">
        <v>0</v>
      </c>
      <c r="P245" s="3">
        <v>2647.92</v>
      </c>
      <c r="Q245" s="3">
        <v>483.96</v>
      </c>
    </row>
    <row r="246" spans="1:17" x14ac:dyDescent="0.3">
      <c r="A246" s="3">
        <v>243</v>
      </c>
      <c r="B246" s="3" t="s">
        <v>536</v>
      </c>
      <c r="C246" s="3" t="s">
        <v>1256</v>
      </c>
      <c r="D246" s="3" t="s">
        <v>1131</v>
      </c>
      <c r="E246" s="3" t="s">
        <v>19</v>
      </c>
      <c r="F246" s="3" t="s">
        <v>537</v>
      </c>
      <c r="G246" s="3" t="s">
        <v>21</v>
      </c>
      <c r="H246" s="3" t="s">
        <v>90</v>
      </c>
      <c r="I246" s="3" t="s">
        <v>169</v>
      </c>
      <c r="J246" s="3" t="s">
        <v>170</v>
      </c>
      <c r="K246" s="3" t="s">
        <v>25</v>
      </c>
      <c r="L246" s="3" t="s">
        <v>80</v>
      </c>
      <c r="M246" s="3" t="s">
        <v>81</v>
      </c>
      <c r="N246" s="3">
        <v>12</v>
      </c>
      <c r="O246" s="3">
        <v>0.4</v>
      </c>
      <c r="P246" s="3">
        <v>298.2</v>
      </c>
      <c r="Q246" s="3">
        <v>87.65</v>
      </c>
    </row>
    <row r="247" spans="1:17" x14ac:dyDescent="0.3">
      <c r="A247" s="3">
        <v>244</v>
      </c>
      <c r="B247" s="3" t="s">
        <v>538</v>
      </c>
      <c r="C247" s="3" t="s">
        <v>1112</v>
      </c>
      <c r="D247" s="3" t="s">
        <v>1368</v>
      </c>
      <c r="E247" s="3" t="s">
        <v>37</v>
      </c>
      <c r="F247" s="3" t="s">
        <v>539</v>
      </c>
      <c r="G247" s="3" t="s">
        <v>39</v>
      </c>
      <c r="H247" s="3" t="s">
        <v>46</v>
      </c>
      <c r="I247" s="3" t="s">
        <v>257</v>
      </c>
      <c r="J247" s="3" t="s">
        <v>258</v>
      </c>
      <c r="K247" s="3" t="s">
        <v>25</v>
      </c>
      <c r="L247" s="3" t="s">
        <v>53</v>
      </c>
      <c r="M247" s="3" t="s">
        <v>54</v>
      </c>
      <c r="N247" s="3">
        <v>3</v>
      </c>
      <c r="O247" s="3">
        <v>0.2</v>
      </c>
      <c r="P247" s="3">
        <v>320.74</v>
      </c>
      <c r="Q247" s="3">
        <v>45.76</v>
      </c>
    </row>
    <row r="248" spans="1:17" x14ac:dyDescent="0.3">
      <c r="A248" s="3">
        <v>245</v>
      </c>
      <c r="B248" s="3" t="s">
        <v>540</v>
      </c>
      <c r="C248" s="3" t="s">
        <v>1369</v>
      </c>
      <c r="D248" s="3" t="s">
        <v>994</v>
      </c>
      <c r="E248" s="3" t="s">
        <v>56</v>
      </c>
      <c r="F248" s="3" t="s">
        <v>541</v>
      </c>
      <c r="G248" s="3" t="s">
        <v>39</v>
      </c>
      <c r="H248" s="3" t="s">
        <v>90</v>
      </c>
      <c r="I248" s="3" t="s">
        <v>99</v>
      </c>
      <c r="J248" s="3" t="s">
        <v>100</v>
      </c>
      <c r="K248" s="3" t="s">
        <v>25</v>
      </c>
      <c r="L248" s="3" t="s">
        <v>80</v>
      </c>
      <c r="M248" s="3" t="s">
        <v>150</v>
      </c>
      <c r="N248" s="3">
        <v>2</v>
      </c>
      <c r="O248" s="3">
        <v>0</v>
      </c>
      <c r="P248" s="3">
        <v>115.05</v>
      </c>
      <c r="Q248" s="3">
        <v>3.83</v>
      </c>
    </row>
    <row r="249" spans="1:17" x14ac:dyDescent="0.3">
      <c r="A249" s="3">
        <v>246</v>
      </c>
      <c r="B249" s="3" t="s">
        <v>542</v>
      </c>
      <c r="C249" s="3" t="s">
        <v>1370</v>
      </c>
      <c r="D249" s="3" t="s">
        <v>1371</v>
      </c>
      <c r="E249" s="3" t="s">
        <v>19</v>
      </c>
      <c r="F249" s="3" t="s">
        <v>543</v>
      </c>
      <c r="G249" s="3" t="s">
        <v>30</v>
      </c>
      <c r="H249" s="3" t="s">
        <v>46</v>
      </c>
      <c r="I249" s="3" t="s">
        <v>146</v>
      </c>
      <c r="J249" s="3" t="s">
        <v>147</v>
      </c>
      <c r="K249" s="3" t="s">
        <v>33</v>
      </c>
      <c r="L249" s="3" t="s">
        <v>95</v>
      </c>
      <c r="M249" s="3" t="s">
        <v>370</v>
      </c>
      <c r="N249" s="3">
        <v>7</v>
      </c>
      <c r="O249" s="3">
        <v>0.4</v>
      </c>
      <c r="P249" s="3">
        <v>4258.74</v>
      </c>
      <c r="Q249" s="3">
        <v>-698.71</v>
      </c>
    </row>
    <row r="250" spans="1:17" x14ac:dyDescent="0.3">
      <c r="A250" s="3">
        <v>247</v>
      </c>
      <c r="B250" s="3" t="s">
        <v>544</v>
      </c>
      <c r="C250" s="3" t="s">
        <v>1372</v>
      </c>
      <c r="D250" s="3" t="s">
        <v>1063</v>
      </c>
      <c r="E250" s="3" t="s">
        <v>56</v>
      </c>
      <c r="F250" s="3" t="s">
        <v>545</v>
      </c>
      <c r="G250" s="3" t="s">
        <v>30</v>
      </c>
      <c r="H250" s="3" t="s">
        <v>46</v>
      </c>
      <c r="I250" s="3" t="s">
        <v>257</v>
      </c>
      <c r="J250" s="3" t="s">
        <v>258</v>
      </c>
      <c r="K250" s="3" t="s">
        <v>33</v>
      </c>
      <c r="L250" s="3" t="s">
        <v>64</v>
      </c>
      <c r="M250" s="3" t="s">
        <v>126</v>
      </c>
      <c r="N250" s="3">
        <v>13</v>
      </c>
      <c r="O250" s="3">
        <v>0</v>
      </c>
      <c r="P250" s="3">
        <v>1715.27</v>
      </c>
      <c r="Q250" s="3">
        <v>-295.64</v>
      </c>
    </row>
    <row r="251" spans="1:17" x14ac:dyDescent="0.3">
      <c r="A251" s="3">
        <v>248</v>
      </c>
      <c r="B251" s="3" t="s">
        <v>546</v>
      </c>
      <c r="C251" s="3" t="s">
        <v>1373</v>
      </c>
      <c r="D251" s="3" t="s">
        <v>1374</v>
      </c>
      <c r="E251" s="3" t="s">
        <v>37</v>
      </c>
      <c r="F251" s="3" t="s">
        <v>547</v>
      </c>
      <c r="G251" s="3" t="s">
        <v>39</v>
      </c>
      <c r="H251" s="3" t="s">
        <v>90</v>
      </c>
      <c r="I251" s="3" t="s">
        <v>169</v>
      </c>
      <c r="J251" s="3" t="s">
        <v>170</v>
      </c>
      <c r="K251" s="3" t="s">
        <v>33</v>
      </c>
      <c r="L251" s="3" t="s">
        <v>95</v>
      </c>
      <c r="M251" s="3" t="s">
        <v>96</v>
      </c>
      <c r="N251" s="3">
        <v>13</v>
      </c>
      <c r="O251" s="3">
        <v>0.1</v>
      </c>
      <c r="P251" s="3">
        <v>7407.48</v>
      </c>
      <c r="Q251" s="3">
        <v>-1772.24</v>
      </c>
    </row>
    <row r="252" spans="1:17" x14ac:dyDescent="0.3">
      <c r="A252" s="3">
        <v>249</v>
      </c>
      <c r="B252" s="3" t="s">
        <v>548</v>
      </c>
      <c r="C252" s="3" t="s">
        <v>1375</v>
      </c>
      <c r="D252" s="3" t="s">
        <v>1376</v>
      </c>
      <c r="E252" s="3" t="s">
        <v>56</v>
      </c>
      <c r="F252" s="3" t="s">
        <v>549</v>
      </c>
      <c r="G252" s="3" t="s">
        <v>30</v>
      </c>
      <c r="H252" s="3" t="s">
        <v>46</v>
      </c>
      <c r="I252" s="3" t="s">
        <v>78</v>
      </c>
      <c r="J252" s="3" t="s">
        <v>79</v>
      </c>
      <c r="K252" s="3" t="s">
        <v>33</v>
      </c>
      <c r="L252" s="3" t="s">
        <v>64</v>
      </c>
      <c r="M252" s="3" t="s">
        <v>126</v>
      </c>
      <c r="N252" s="3">
        <v>1</v>
      </c>
      <c r="O252" s="3">
        <v>0.15</v>
      </c>
      <c r="P252" s="3">
        <v>216.1</v>
      </c>
      <c r="Q252" s="3">
        <v>5.09</v>
      </c>
    </row>
    <row r="253" spans="1:17" x14ac:dyDescent="0.3">
      <c r="A253" s="3">
        <v>250</v>
      </c>
      <c r="B253" s="3" t="s">
        <v>550</v>
      </c>
      <c r="C253" s="3" t="s">
        <v>1377</v>
      </c>
      <c r="D253" s="3" t="s">
        <v>1378</v>
      </c>
      <c r="E253" s="3" t="s">
        <v>62</v>
      </c>
      <c r="F253" s="3" t="s">
        <v>551</v>
      </c>
      <c r="G253" s="3" t="s">
        <v>39</v>
      </c>
      <c r="H253" s="3" t="s">
        <v>46</v>
      </c>
      <c r="I253" s="3" t="s">
        <v>78</v>
      </c>
      <c r="J253" s="3" t="s">
        <v>79</v>
      </c>
      <c r="K253" s="3" t="s">
        <v>33</v>
      </c>
      <c r="L253" s="3" t="s">
        <v>34</v>
      </c>
      <c r="M253" s="3" t="s">
        <v>43</v>
      </c>
      <c r="N253" s="3">
        <v>12</v>
      </c>
      <c r="O253" s="3">
        <v>0.1</v>
      </c>
      <c r="P253" s="3">
        <v>8029.2</v>
      </c>
      <c r="Q253" s="3">
        <v>1529.13</v>
      </c>
    </row>
    <row r="254" spans="1:17" x14ac:dyDescent="0.3">
      <c r="A254" s="3">
        <v>251</v>
      </c>
      <c r="B254" s="3" t="s">
        <v>552</v>
      </c>
      <c r="C254" s="3" t="s">
        <v>1304</v>
      </c>
      <c r="D254" s="3" t="s">
        <v>1379</v>
      </c>
      <c r="E254" s="3" t="s">
        <v>62</v>
      </c>
      <c r="F254" s="3" t="s">
        <v>553</v>
      </c>
      <c r="G254" s="3" t="s">
        <v>30</v>
      </c>
      <c r="H254" s="3" t="s">
        <v>90</v>
      </c>
      <c r="I254" s="3" t="s">
        <v>99</v>
      </c>
      <c r="J254" s="3" t="s">
        <v>100</v>
      </c>
      <c r="K254" s="3" t="s">
        <v>58</v>
      </c>
      <c r="L254" s="3" t="s">
        <v>59</v>
      </c>
      <c r="M254" s="3" t="s">
        <v>295</v>
      </c>
      <c r="N254" s="3">
        <v>2</v>
      </c>
      <c r="O254" s="3">
        <v>0</v>
      </c>
      <c r="P254" s="3">
        <v>674.35</v>
      </c>
      <c r="Q254" s="3">
        <v>-149.07</v>
      </c>
    </row>
    <row r="255" spans="1:17" x14ac:dyDescent="0.3">
      <c r="A255" s="3">
        <v>252</v>
      </c>
      <c r="B255" s="3" t="s">
        <v>554</v>
      </c>
      <c r="C255" s="3" t="s">
        <v>1380</v>
      </c>
      <c r="D255" s="3" t="s">
        <v>1381</v>
      </c>
      <c r="E255" s="3" t="s">
        <v>19</v>
      </c>
      <c r="F255" s="3" t="s">
        <v>355</v>
      </c>
      <c r="G255" s="3" t="s">
        <v>39</v>
      </c>
      <c r="H255" s="3" t="s">
        <v>46</v>
      </c>
      <c r="I255" s="3" t="s">
        <v>146</v>
      </c>
      <c r="J255" s="3" t="s">
        <v>147</v>
      </c>
      <c r="K255" s="3" t="s">
        <v>25</v>
      </c>
      <c r="L255" s="3" t="s">
        <v>26</v>
      </c>
      <c r="M255" s="3" t="s">
        <v>155</v>
      </c>
      <c r="N255" s="3">
        <v>1</v>
      </c>
      <c r="O255" s="3">
        <v>0</v>
      </c>
      <c r="P255" s="3">
        <v>37.53</v>
      </c>
      <c r="Q255" s="3">
        <v>5.54</v>
      </c>
    </row>
    <row r="256" spans="1:17" x14ac:dyDescent="0.3">
      <c r="A256" s="3">
        <v>253</v>
      </c>
      <c r="B256" s="3" t="s">
        <v>555</v>
      </c>
      <c r="C256" s="3" t="s">
        <v>1382</v>
      </c>
      <c r="D256" s="3" t="s">
        <v>1383</v>
      </c>
      <c r="E256" s="3" t="s">
        <v>56</v>
      </c>
      <c r="F256" s="3" t="s">
        <v>556</v>
      </c>
      <c r="G256" s="3" t="s">
        <v>30</v>
      </c>
      <c r="H256" s="3" t="s">
        <v>90</v>
      </c>
      <c r="I256" s="3" t="s">
        <v>169</v>
      </c>
      <c r="J256" s="3" t="s">
        <v>170</v>
      </c>
      <c r="K256" s="3" t="s">
        <v>25</v>
      </c>
      <c r="L256" s="3" t="s">
        <v>80</v>
      </c>
      <c r="M256" s="3" t="s">
        <v>81</v>
      </c>
      <c r="N256" s="3">
        <v>13</v>
      </c>
      <c r="O256" s="3">
        <v>0.1</v>
      </c>
      <c r="P256" s="3">
        <v>183.34</v>
      </c>
      <c r="Q256" s="3">
        <v>21.16</v>
      </c>
    </row>
    <row r="257" spans="1:17" x14ac:dyDescent="0.3">
      <c r="A257" s="3">
        <v>254</v>
      </c>
      <c r="B257" s="3" t="s">
        <v>557</v>
      </c>
      <c r="C257" s="3" t="s">
        <v>998</v>
      </c>
      <c r="D257" s="3" t="s">
        <v>1190</v>
      </c>
      <c r="E257" s="3" t="s">
        <v>62</v>
      </c>
      <c r="F257" s="3" t="s">
        <v>558</v>
      </c>
      <c r="G257" s="3" t="s">
        <v>21</v>
      </c>
      <c r="H257" s="3" t="s">
        <v>46</v>
      </c>
      <c r="I257" s="3" t="s">
        <v>78</v>
      </c>
      <c r="J257" s="3" t="s">
        <v>79</v>
      </c>
      <c r="K257" s="3" t="s">
        <v>33</v>
      </c>
      <c r="L257" s="3" t="s">
        <v>34</v>
      </c>
      <c r="M257" s="3" t="s">
        <v>35</v>
      </c>
      <c r="N257" s="3">
        <v>6</v>
      </c>
      <c r="O257" s="3">
        <v>0</v>
      </c>
      <c r="P257" s="3">
        <v>1099.75</v>
      </c>
      <c r="Q257" s="3">
        <v>168.24</v>
      </c>
    </row>
    <row r="258" spans="1:17" x14ac:dyDescent="0.3">
      <c r="A258" s="3">
        <v>255</v>
      </c>
      <c r="B258" s="3" t="s">
        <v>559</v>
      </c>
      <c r="C258" s="3" t="s">
        <v>1384</v>
      </c>
      <c r="D258" s="3" t="s">
        <v>1385</v>
      </c>
      <c r="E258" s="3" t="s">
        <v>62</v>
      </c>
      <c r="F258" s="3" t="s">
        <v>470</v>
      </c>
      <c r="G258" s="3" t="s">
        <v>30</v>
      </c>
      <c r="H258" s="3" t="s">
        <v>22</v>
      </c>
      <c r="I258" s="3" t="s">
        <v>23</v>
      </c>
      <c r="J258" s="3" t="s">
        <v>24</v>
      </c>
      <c r="K258" s="3" t="s">
        <v>58</v>
      </c>
      <c r="L258" s="3" t="s">
        <v>86</v>
      </c>
      <c r="M258" s="3" t="s">
        <v>211</v>
      </c>
      <c r="N258" s="3">
        <v>8</v>
      </c>
      <c r="O258" s="3">
        <v>0</v>
      </c>
      <c r="P258" s="3">
        <v>428.3</v>
      </c>
      <c r="Q258" s="3">
        <v>117.56</v>
      </c>
    </row>
    <row r="259" spans="1:17" x14ac:dyDescent="0.3">
      <c r="A259" s="3">
        <v>256</v>
      </c>
      <c r="B259" s="3" t="s">
        <v>560</v>
      </c>
      <c r="C259" s="3" t="s">
        <v>1386</v>
      </c>
      <c r="D259" s="3" t="s">
        <v>1169</v>
      </c>
      <c r="E259" s="3" t="s">
        <v>62</v>
      </c>
      <c r="F259" s="3" t="s">
        <v>470</v>
      </c>
      <c r="G259" s="3" t="s">
        <v>21</v>
      </c>
      <c r="H259" s="3" t="s">
        <v>22</v>
      </c>
      <c r="I259" s="3" t="s">
        <v>23</v>
      </c>
      <c r="J259" s="3" t="s">
        <v>24</v>
      </c>
      <c r="K259" s="3" t="s">
        <v>33</v>
      </c>
      <c r="L259" s="3" t="s">
        <v>95</v>
      </c>
      <c r="M259" s="3" t="s">
        <v>370</v>
      </c>
      <c r="N259" s="3">
        <v>8</v>
      </c>
      <c r="O259" s="3">
        <v>0.15</v>
      </c>
      <c r="P259" s="3">
        <v>5116.3900000000003</v>
      </c>
      <c r="Q259" s="3">
        <v>1417.68</v>
      </c>
    </row>
    <row r="260" spans="1:17" x14ac:dyDescent="0.3">
      <c r="A260" s="3">
        <v>257</v>
      </c>
      <c r="B260" s="3" t="s">
        <v>561</v>
      </c>
      <c r="C260" s="3" t="s">
        <v>1387</v>
      </c>
      <c r="D260" s="3" t="s">
        <v>1388</v>
      </c>
      <c r="E260" s="3" t="s">
        <v>56</v>
      </c>
      <c r="F260" s="3" t="s">
        <v>562</v>
      </c>
      <c r="G260" s="3" t="s">
        <v>30</v>
      </c>
      <c r="H260" s="3" t="s">
        <v>90</v>
      </c>
      <c r="I260" s="3" t="s">
        <v>110</v>
      </c>
      <c r="J260" s="3" t="s">
        <v>111</v>
      </c>
      <c r="K260" s="3" t="s">
        <v>58</v>
      </c>
      <c r="L260" s="3" t="s">
        <v>199</v>
      </c>
      <c r="M260" s="3" t="s">
        <v>200</v>
      </c>
      <c r="N260" s="3">
        <v>8</v>
      </c>
      <c r="O260" s="3">
        <v>0</v>
      </c>
      <c r="P260" s="3">
        <v>3247.62</v>
      </c>
      <c r="Q260" s="3">
        <v>-591.61</v>
      </c>
    </row>
    <row r="261" spans="1:17" x14ac:dyDescent="0.3">
      <c r="A261" s="3">
        <v>258</v>
      </c>
      <c r="B261" s="3" t="s">
        <v>563</v>
      </c>
      <c r="C261" s="3" t="s">
        <v>1389</v>
      </c>
      <c r="D261" s="3" t="s">
        <v>1390</v>
      </c>
      <c r="E261" s="3" t="s">
        <v>62</v>
      </c>
      <c r="F261" s="3" t="s">
        <v>462</v>
      </c>
      <c r="G261" s="3" t="s">
        <v>30</v>
      </c>
      <c r="H261" s="3" t="s">
        <v>90</v>
      </c>
      <c r="I261" s="3" t="s">
        <v>104</v>
      </c>
      <c r="J261" s="3" t="s">
        <v>105</v>
      </c>
      <c r="K261" s="3" t="s">
        <v>25</v>
      </c>
      <c r="L261" s="3" t="s">
        <v>106</v>
      </c>
      <c r="M261" s="3" t="s">
        <v>136</v>
      </c>
      <c r="N261" s="3">
        <v>11</v>
      </c>
      <c r="O261" s="3">
        <v>0</v>
      </c>
      <c r="P261" s="3">
        <v>1164.18</v>
      </c>
      <c r="Q261" s="3">
        <v>46.39</v>
      </c>
    </row>
    <row r="262" spans="1:17" x14ac:dyDescent="0.3">
      <c r="A262" s="3">
        <v>259</v>
      </c>
      <c r="B262" s="3" t="s">
        <v>564</v>
      </c>
      <c r="C262" s="3" t="s">
        <v>1391</v>
      </c>
      <c r="D262" s="3" t="s">
        <v>1392</v>
      </c>
      <c r="E262" s="3" t="s">
        <v>62</v>
      </c>
      <c r="F262" s="3" t="s">
        <v>247</v>
      </c>
      <c r="G262" s="3" t="s">
        <v>39</v>
      </c>
      <c r="H262" s="3" t="s">
        <v>22</v>
      </c>
      <c r="I262" s="3" t="s">
        <v>72</v>
      </c>
      <c r="J262" s="3" t="s">
        <v>73</v>
      </c>
      <c r="K262" s="3" t="s">
        <v>25</v>
      </c>
      <c r="L262" s="3" t="s">
        <v>116</v>
      </c>
      <c r="M262" s="3" t="s">
        <v>117</v>
      </c>
      <c r="N262" s="3">
        <v>13</v>
      </c>
      <c r="O262" s="3">
        <v>0.1</v>
      </c>
      <c r="P262" s="3">
        <v>1131.72</v>
      </c>
      <c r="Q262" s="3">
        <v>381.09</v>
      </c>
    </row>
    <row r="263" spans="1:17" x14ac:dyDescent="0.3">
      <c r="A263" s="3">
        <v>260</v>
      </c>
      <c r="B263" s="3" t="s">
        <v>565</v>
      </c>
      <c r="C263" s="3" t="s">
        <v>1393</v>
      </c>
      <c r="D263" s="3" t="s">
        <v>1083</v>
      </c>
      <c r="E263" s="3" t="s">
        <v>19</v>
      </c>
      <c r="F263" s="3" t="s">
        <v>63</v>
      </c>
      <c r="G263" s="3" t="s">
        <v>30</v>
      </c>
      <c r="H263" s="3" t="s">
        <v>90</v>
      </c>
      <c r="I263" s="3" t="s">
        <v>104</v>
      </c>
      <c r="J263" s="3" t="s">
        <v>105</v>
      </c>
      <c r="K263" s="3" t="s">
        <v>25</v>
      </c>
      <c r="L263" s="3" t="s">
        <v>53</v>
      </c>
      <c r="M263" s="3" t="s">
        <v>171</v>
      </c>
      <c r="N263" s="3">
        <v>3</v>
      </c>
      <c r="O263" s="3">
        <v>0</v>
      </c>
      <c r="P263" s="3">
        <v>303.02</v>
      </c>
      <c r="Q263" s="3">
        <v>-73.64</v>
      </c>
    </row>
    <row r="264" spans="1:17" x14ac:dyDescent="0.3">
      <c r="A264" s="3">
        <v>261</v>
      </c>
      <c r="B264" s="3" t="s">
        <v>566</v>
      </c>
      <c r="C264" s="3" t="s">
        <v>1078</v>
      </c>
      <c r="D264" s="3" t="s">
        <v>1089</v>
      </c>
      <c r="E264" s="3" t="s">
        <v>56</v>
      </c>
      <c r="F264" s="3" t="s">
        <v>567</v>
      </c>
      <c r="G264" s="3" t="s">
        <v>30</v>
      </c>
      <c r="H264" s="3" t="s">
        <v>22</v>
      </c>
      <c r="I264" s="3" t="s">
        <v>84</v>
      </c>
      <c r="J264" s="3" t="s">
        <v>85</v>
      </c>
      <c r="K264" s="3" t="s">
        <v>25</v>
      </c>
      <c r="L264" s="3" t="s">
        <v>106</v>
      </c>
      <c r="M264" s="3" t="s">
        <v>107</v>
      </c>
      <c r="N264" s="3">
        <v>4</v>
      </c>
      <c r="O264" s="3">
        <v>0.3</v>
      </c>
      <c r="P264" s="3">
        <v>243.73</v>
      </c>
      <c r="Q264" s="3">
        <v>-1.96</v>
      </c>
    </row>
    <row r="265" spans="1:17" x14ac:dyDescent="0.3">
      <c r="A265" s="3">
        <v>262</v>
      </c>
      <c r="B265" s="3" t="s">
        <v>568</v>
      </c>
      <c r="C265" s="3" t="s">
        <v>1394</v>
      </c>
      <c r="D265" s="3" t="s">
        <v>1395</v>
      </c>
      <c r="E265" s="3" t="s">
        <v>37</v>
      </c>
      <c r="F265" s="3" t="s">
        <v>569</v>
      </c>
      <c r="G265" s="3" t="s">
        <v>39</v>
      </c>
      <c r="H265" s="3" t="s">
        <v>22</v>
      </c>
      <c r="I265" s="3" t="s">
        <v>84</v>
      </c>
      <c r="J265" s="3" t="s">
        <v>85</v>
      </c>
      <c r="K265" s="3" t="s">
        <v>25</v>
      </c>
      <c r="L265" s="3" t="s">
        <v>116</v>
      </c>
      <c r="M265" s="3" t="s">
        <v>166</v>
      </c>
      <c r="N265" s="3">
        <v>2</v>
      </c>
      <c r="O265" s="3">
        <v>0</v>
      </c>
      <c r="P265" s="3">
        <v>99.21</v>
      </c>
      <c r="Q265" s="3">
        <v>8.36</v>
      </c>
    </row>
    <row r="266" spans="1:17" x14ac:dyDescent="0.3">
      <c r="A266" s="3">
        <v>263</v>
      </c>
      <c r="B266" s="3" t="s">
        <v>570</v>
      </c>
      <c r="C266" s="3" t="s">
        <v>1396</v>
      </c>
      <c r="D266" s="3" t="s">
        <v>1090</v>
      </c>
      <c r="E266" s="3" t="s">
        <v>19</v>
      </c>
      <c r="F266" s="3" t="s">
        <v>423</v>
      </c>
      <c r="G266" s="3" t="s">
        <v>21</v>
      </c>
      <c r="H266" s="3" t="s">
        <v>40</v>
      </c>
      <c r="I266" s="3" t="s">
        <v>185</v>
      </c>
      <c r="J266" s="3" t="s">
        <v>186</v>
      </c>
      <c r="K266" s="3" t="s">
        <v>58</v>
      </c>
      <c r="L266" s="3" t="s">
        <v>199</v>
      </c>
      <c r="M266" s="3" t="s">
        <v>571</v>
      </c>
      <c r="N266" s="3">
        <v>8</v>
      </c>
      <c r="O266" s="3">
        <v>0.4</v>
      </c>
      <c r="P266" s="3">
        <v>1309.6300000000001</v>
      </c>
      <c r="Q266" s="3">
        <v>235.73</v>
      </c>
    </row>
    <row r="267" spans="1:17" x14ac:dyDescent="0.3">
      <c r="A267" s="3">
        <v>264</v>
      </c>
      <c r="B267" s="3" t="s">
        <v>572</v>
      </c>
      <c r="C267" s="3" t="s">
        <v>1177</v>
      </c>
      <c r="D267" s="3" t="s">
        <v>1397</v>
      </c>
      <c r="E267" s="3" t="s">
        <v>37</v>
      </c>
      <c r="F267" s="3" t="s">
        <v>573</v>
      </c>
      <c r="G267" s="3" t="s">
        <v>21</v>
      </c>
      <c r="H267" s="3" t="s">
        <v>22</v>
      </c>
      <c r="I267" s="3" t="s">
        <v>72</v>
      </c>
      <c r="J267" s="3" t="s">
        <v>73</v>
      </c>
      <c r="K267" s="3" t="s">
        <v>25</v>
      </c>
      <c r="L267" s="3" t="s">
        <v>53</v>
      </c>
      <c r="M267" s="3" t="s">
        <v>54</v>
      </c>
      <c r="N267" s="3">
        <v>6</v>
      </c>
      <c r="O267" s="3">
        <v>0</v>
      </c>
      <c r="P267" s="3">
        <v>509.08</v>
      </c>
      <c r="Q267" s="3">
        <v>146.68</v>
      </c>
    </row>
    <row r="268" spans="1:17" x14ac:dyDescent="0.3">
      <c r="A268" s="3">
        <v>265</v>
      </c>
      <c r="B268" s="3" t="s">
        <v>574</v>
      </c>
      <c r="C268" s="3" t="s">
        <v>1398</v>
      </c>
      <c r="D268" s="3" t="s">
        <v>1399</v>
      </c>
      <c r="E268" s="3" t="s">
        <v>56</v>
      </c>
      <c r="F268" s="3" t="s">
        <v>575</v>
      </c>
      <c r="G268" s="3" t="s">
        <v>21</v>
      </c>
      <c r="H268" s="3" t="s">
        <v>40</v>
      </c>
      <c r="I268" s="3" t="s">
        <v>114</v>
      </c>
      <c r="J268" s="3" t="s">
        <v>115</v>
      </c>
      <c r="K268" s="3" t="s">
        <v>33</v>
      </c>
      <c r="L268" s="3" t="s">
        <v>34</v>
      </c>
      <c r="M268" s="3" t="s">
        <v>35</v>
      </c>
      <c r="N268" s="3">
        <v>13</v>
      </c>
      <c r="O268" s="3">
        <v>0.2</v>
      </c>
      <c r="P268" s="3">
        <v>1877.49</v>
      </c>
      <c r="Q268" s="3">
        <v>-347.98</v>
      </c>
    </row>
    <row r="269" spans="1:17" x14ac:dyDescent="0.3">
      <c r="A269" s="3">
        <v>266</v>
      </c>
      <c r="B269" s="3" t="s">
        <v>576</v>
      </c>
      <c r="C269" s="3" t="s">
        <v>1400</v>
      </c>
      <c r="D269" s="3" t="s">
        <v>1307</v>
      </c>
      <c r="E269" s="3" t="s">
        <v>19</v>
      </c>
      <c r="F269" s="3" t="s">
        <v>436</v>
      </c>
      <c r="G269" s="3" t="s">
        <v>39</v>
      </c>
      <c r="H269" s="3" t="s">
        <v>90</v>
      </c>
      <c r="I269" s="3" t="s">
        <v>91</v>
      </c>
      <c r="J269" s="3" t="s">
        <v>92</v>
      </c>
      <c r="K269" s="3" t="s">
        <v>58</v>
      </c>
      <c r="L269" s="3" t="s">
        <v>86</v>
      </c>
      <c r="M269" s="3" t="s">
        <v>211</v>
      </c>
      <c r="N269" s="3">
        <v>12</v>
      </c>
      <c r="O269" s="3">
        <v>0.3</v>
      </c>
      <c r="P269" s="3">
        <v>576.89</v>
      </c>
      <c r="Q269" s="3">
        <v>146.12</v>
      </c>
    </row>
    <row r="270" spans="1:17" x14ac:dyDescent="0.3">
      <c r="A270" s="3">
        <v>267</v>
      </c>
      <c r="B270" s="3" t="s">
        <v>577</v>
      </c>
      <c r="C270" s="3" t="s">
        <v>1401</v>
      </c>
      <c r="D270" s="3" t="s">
        <v>1017</v>
      </c>
      <c r="E270" s="3" t="s">
        <v>19</v>
      </c>
      <c r="F270" s="3" t="s">
        <v>345</v>
      </c>
      <c r="G270" s="3" t="s">
        <v>21</v>
      </c>
      <c r="H270" s="3" t="s">
        <v>40</v>
      </c>
      <c r="I270" s="3" t="s">
        <v>158</v>
      </c>
      <c r="J270" s="3" t="s">
        <v>159</v>
      </c>
      <c r="K270" s="3" t="s">
        <v>25</v>
      </c>
      <c r="L270" s="3" t="s">
        <v>80</v>
      </c>
      <c r="M270" s="3" t="s">
        <v>150</v>
      </c>
      <c r="N270" s="3">
        <v>7</v>
      </c>
      <c r="O270" s="3">
        <v>0.1</v>
      </c>
      <c r="P270" s="3">
        <v>798.38</v>
      </c>
      <c r="Q270" s="3">
        <v>-68.53</v>
      </c>
    </row>
    <row r="271" spans="1:17" x14ac:dyDescent="0.3">
      <c r="A271" s="3">
        <v>268</v>
      </c>
      <c r="B271" s="3" t="s">
        <v>578</v>
      </c>
      <c r="C271" s="3" t="s">
        <v>1402</v>
      </c>
      <c r="D271" s="3" t="s">
        <v>1027</v>
      </c>
      <c r="E271" s="3" t="s">
        <v>37</v>
      </c>
      <c r="F271" s="3" t="s">
        <v>399</v>
      </c>
      <c r="G271" s="3" t="s">
        <v>39</v>
      </c>
      <c r="H271" s="3" t="s">
        <v>90</v>
      </c>
      <c r="I271" s="3" t="s">
        <v>91</v>
      </c>
      <c r="J271" s="3" t="s">
        <v>92</v>
      </c>
      <c r="K271" s="3" t="s">
        <v>25</v>
      </c>
      <c r="L271" s="3" t="s">
        <v>53</v>
      </c>
      <c r="M271" s="3" t="s">
        <v>171</v>
      </c>
      <c r="N271" s="3">
        <v>12</v>
      </c>
      <c r="O271" s="3">
        <v>0.2</v>
      </c>
      <c r="P271" s="3">
        <v>751.71</v>
      </c>
      <c r="Q271" s="3">
        <v>133.15</v>
      </c>
    </row>
    <row r="272" spans="1:17" x14ac:dyDescent="0.3">
      <c r="A272" s="3">
        <v>269</v>
      </c>
      <c r="B272" s="3" t="s">
        <v>579</v>
      </c>
      <c r="C272" s="3" t="s">
        <v>966</v>
      </c>
      <c r="D272" s="3" t="s">
        <v>1403</v>
      </c>
      <c r="E272" s="3" t="s">
        <v>56</v>
      </c>
      <c r="F272" s="3" t="s">
        <v>119</v>
      </c>
      <c r="G272" s="3" t="s">
        <v>39</v>
      </c>
      <c r="H272" s="3" t="s">
        <v>46</v>
      </c>
      <c r="I272" s="3" t="s">
        <v>78</v>
      </c>
      <c r="J272" s="3" t="s">
        <v>79</v>
      </c>
      <c r="K272" s="3" t="s">
        <v>58</v>
      </c>
      <c r="L272" s="3" t="s">
        <v>86</v>
      </c>
      <c r="M272" s="3" t="s">
        <v>133</v>
      </c>
      <c r="N272" s="3">
        <v>11</v>
      </c>
      <c r="O272" s="3">
        <v>0</v>
      </c>
      <c r="P272" s="3">
        <v>1996.71</v>
      </c>
      <c r="Q272" s="3">
        <v>412.25</v>
      </c>
    </row>
    <row r="273" spans="1:17" x14ac:dyDescent="0.3">
      <c r="A273" s="3">
        <v>270</v>
      </c>
      <c r="B273" s="3" t="s">
        <v>580</v>
      </c>
      <c r="C273" s="3" t="s">
        <v>1173</v>
      </c>
      <c r="D273" s="3" t="s">
        <v>1404</v>
      </c>
      <c r="E273" s="3" t="s">
        <v>62</v>
      </c>
      <c r="F273" s="3" t="s">
        <v>401</v>
      </c>
      <c r="G273" s="3" t="s">
        <v>21</v>
      </c>
      <c r="H273" s="3" t="s">
        <v>46</v>
      </c>
      <c r="I273" s="3" t="s">
        <v>146</v>
      </c>
      <c r="J273" s="3" t="s">
        <v>147</v>
      </c>
      <c r="K273" s="3" t="s">
        <v>58</v>
      </c>
      <c r="L273" s="3" t="s">
        <v>59</v>
      </c>
      <c r="M273" s="3" t="s">
        <v>60</v>
      </c>
      <c r="N273" s="3">
        <v>1</v>
      </c>
      <c r="O273" s="3">
        <v>0.1</v>
      </c>
      <c r="P273" s="3">
        <v>334.67</v>
      </c>
      <c r="Q273" s="3">
        <v>-30.06</v>
      </c>
    </row>
    <row r="274" spans="1:17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x14ac:dyDescent="0.3">
      <c r="A275" s="3">
        <v>271</v>
      </c>
      <c r="B275" s="3" t="s">
        <v>581</v>
      </c>
      <c r="C275" s="3" t="s">
        <v>1087</v>
      </c>
      <c r="D275" s="3" t="s">
        <v>1405</v>
      </c>
      <c r="E275" s="3" t="s">
        <v>37</v>
      </c>
      <c r="F275" s="3" t="s">
        <v>582</v>
      </c>
      <c r="G275" s="3" t="s">
        <v>39</v>
      </c>
      <c r="H275" s="3" t="s">
        <v>46</v>
      </c>
      <c r="I275" s="3" t="s">
        <v>78</v>
      </c>
      <c r="J275" s="3" t="s">
        <v>79</v>
      </c>
      <c r="K275" s="3" t="s">
        <v>25</v>
      </c>
      <c r="L275" s="3" t="s">
        <v>116</v>
      </c>
      <c r="M275" s="3" t="s">
        <v>166</v>
      </c>
      <c r="N275" s="3">
        <v>10</v>
      </c>
      <c r="O275" s="3">
        <v>0.1</v>
      </c>
      <c r="P275" s="3">
        <v>1012.95</v>
      </c>
      <c r="Q275" s="3">
        <v>197.98</v>
      </c>
    </row>
    <row r="276" spans="1:17" x14ac:dyDescent="0.3">
      <c r="A276" s="3">
        <v>272</v>
      </c>
      <c r="B276" s="3" t="s">
        <v>583</v>
      </c>
      <c r="C276" s="3" t="s">
        <v>1051</v>
      </c>
      <c r="D276" s="3" t="s">
        <v>1149</v>
      </c>
      <c r="E276" s="3" t="s">
        <v>19</v>
      </c>
      <c r="F276" s="3" t="s">
        <v>584</v>
      </c>
      <c r="G276" s="3" t="s">
        <v>39</v>
      </c>
      <c r="H276" s="3" t="s">
        <v>22</v>
      </c>
      <c r="I276" s="3" t="s">
        <v>84</v>
      </c>
      <c r="J276" s="3" t="s">
        <v>85</v>
      </c>
      <c r="K276" s="3" t="s">
        <v>25</v>
      </c>
      <c r="L276" s="3" t="s">
        <v>53</v>
      </c>
      <c r="M276" s="3" t="s">
        <v>54</v>
      </c>
      <c r="N276" s="3">
        <v>1</v>
      </c>
      <c r="O276" s="3">
        <v>0.1</v>
      </c>
      <c r="P276" s="3">
        <v>87.06</v>
      </c>
      <c r="Q276" s="3">
        <v>10.65</v>
      </c>
    </row>
    <row r="277" spans="1:17" x14ac:dyDescent="0.3">
      <c r="A277" s="3">
        <v>273</v>
      </c>
      <c r="B277" s="3" t="s">
        <v>585</v>
      </c>
      <c r="C277" s="3" t="s">
        <v>1135</v>
      </c>
      <c r="D277" s="3" t="s">
        <v>1406</v>
      </c>
      <c r="E277" s="3" t="s">
        <v>19</v>
      </c>
      <c r="F277" s="3" t="s">
        <v>367</v>
      </c>
      <c r="G277" s="3" t="s">
        <v>21</v>
      </c>
      <c r="H277" s="3" t="s">
        <v>40</v>
      </c>
      <c r="I277" s="3" t="s">
        <v>41</v>
      </c>
      <c r="J277" s="3" t="s">
        <v>42</v>
      </c>
      <c r="K277" s="3" t="s">
        <v>25</v>
      </c>
      <c r="L277" s="3" t="s">
        <v>53</v>
      </c>
      <c r="M277" s="3" t="s">
        <v>139</v>
      </c>
      <c r="N277" s="3">
        <v>12</v>
      </c>
      <c r="O277" s="3">
        <v>0.3</v>
      </c>
      <c r="P277" s="3">
        <v>683.96</v>
      </c>
      <c r="Q277" s="3">
        <v>-154.31</v>
      </c>
    </row>
    <row r="278" spans="1:17" x14ac:dyDescent="0.3">
      <c r="A278" s="3">
        <v>274</v>
      </c>
      <c r="B278" s="3" t="s">
        <v>586</v>
      </c>
      <c r="C278" s="3" t="s">
        <v>1407</v>
      </c>
      <c r="D278" s="3" t="s">
        <v>1358</v>
      </c>
      <c r="E278" s="3" t="s">
        <v>19</v>
      </c>
      <c r="F278" s="3" t="s">
        <v>336</v>
      </c>
      <c r="G278" s="3" t="s">
        <v>39</v>
      </c>
      <c r="H278" s="3" t="s">
        <v>46</v>
      </c>
      <c r="I278" s="3" t="s">
        <v>257</v>
      </c>
      <c r="J278" s="3" t="s">
        <v>258</v>
      </c>
      <c r="K278" s="3" t="s">
        <v>25</v>
      </c>
      <c r="L278" s="3" t="s">
        <v>53</v>
      </c>
      <c r="M278" s="3" t="s">
        <v>139</v>
      </c>
      <c r="N278" s="3">
        <v>6</v>
      </c>
      <c r="O278" s="3">
        <v>0.15</v>
      </c>
      <c r="P278" s="3">
        <v>415.03</v>
      </c>
      <c r="Q278" s="3">
        <v>18.399999999999999</v>
      </c>
    </row>
    <row r="279" spans="1:17" x14ac:dyDescent="0.3">
      <c r="A279" s="3">
        <v>275</v>
      </c>
      <c r="B279" s="3" t="s">
        <v>587</v>
      </c>
      <c r="C279" s="3" t="s">
        <v>1408</v>
      </c>
      <c r="D279" s="3" t="s">
        <v>1403</v>
      </c>
      <c r="E279" s="3" t="s">
        <v>19</v>
      </c>
      <c r="F279" s="3" t="s">
        <v>588</v>
      </c>
      <c r="G279" s="3" t="s">
        <v>30</v>
      </c>
      <c r="H279" s="3" t="s">
        <v>40</v>
      </c>
      <c r="I279" s="3" t="s">
        <v>223</v>
      </c>
      <c r="J279" s="3" t="s">
        <v>224</v>
      </c>
      <c r="K279" s="3" t="s">
        <v>33</v>
      </c>
      <c r="L279" s="3" t="s">
        <v>95</v>
      </c>
      <c r="M279" s="3" t="s">
        <v>120</v>
      </c>
      <c r="N279" s="3">
        <v>7</v>
      </c>
      <c r="O279" s="3">
        <v>0.1</v>
      </c>
      <c r="P279" s="3">
        <v>591.16</v>
      </c>
      <c r="Q279" s="3">
        <v>165.55</v>
      </c>
    </row>
    <row r="280" spans="1:17" x14ac:dyDescent="0.3">
      <c r="A280" s="3">
        <v>276</v>
      </c>
      <c r="B280" s="3" t="s">
        <v>589</v>
      </c>
      <c r="C280" s="3" t="s">
        <v>1129</v>
      </c>
      <c r="D280" s="3" t="s">
        <v>1409</v>
      </c>
      <c r="E280" s="3" t="s">
        <v>37</v>
      </c>
      <c r="F280" s="3" t="s">
        <v>590</v>
      </c>
      <c r="G280" s="3" t="s">
        <v>30</v>
      </c>
      <c r="H280" s="3" t="s">
        <v>90</v>
      </c>
      <c r="I280" s="3" t="s">
        <v>91</v>
      </c>
      <c r="J280" s="3" t="s">
        <v>92</v>
      </c>
      <c r="K280" s="3" t="s">
        <v>58</v>
      </c>
      <c r="L280" s="3" t="s">
        <v>59</v>
      </c>
      <c r="M280" s="3" t="s">
        <v>60</v>
      </c>
      <c r="N280" s="3">
        <v>8</v>
      </c>
      <c r="O280" s="3">
        <v>0.1</v>
      </c>
      <c r="P280" s="3">
        <v>1109.4000000000001</v>
      </c>
      <c r="Q280" s="3">
        <v>360.93</v>
      </c>
    </row>
    <row r="281" spans="1:17" x14ac:dyDescent="0.3">
      <c r="A281" s="3">
        <v>277</v>
      </c>
      <c r="B281" s="3" t="s">
        <v>591</v>
      </c>
      <c r="C281" s="3" t="s">
        <v>1410</v>
      </c>
      <c r="D281" s="3" t="s">
        <v>1411</v>
      </c>
      <c r="E281" s="3" t="s">
        <v>62</v>
      </c>
      <c r="F281" s="3" t="s">
        <v>389</v>
      </c>
      <c r="G281" s="3" t="s">
        <v>39</v>
      </c>
      <c r="H281" s="3" t="s">
        <v>46</v>
      </c>
      <c r="I281" s="3" t="s">
        <v>257</v>
      </c>
      <c r="J281" s="3" t="s">
        <v>258</v>
      </c>
      <c r="K281" s="3" t="s">
        <v>58</v>
      </c>
      <c r="L281" s="3" t="s">
        <v>199</v>
      </c>
      <c r="M281" s="3" t="s">
        <v>205</v>
      </c>
      <c r="N281" s="3">
        <v>8</v>
      </c>
      <c r="O281" s="3">
        <v>0.1</v>
      </c>
      <c r="P281" s="3">
        <v>392.74</v>
      </c>
      <c r="Q281" s="3">
        <v>-22.71</v>
      </c>
    </row>
    <row r="282" spans="1:17" x14ac:dyDescent="0.3">
      <c r="A282" s="3">
        <v>278</v>
      </c>
      <c r="B282" s="3" t="s">
        <v>592</v>
      </c>
      <c r="C282" s="3" t="s">
        <v>1412</v>
      </c>
      <c r="D282" s="3" t="s">
        <v>1413</v>
      </c>
      <c r="E282" s="3" t="s">
        <v>37</v>
      </c>
      <c r="F282" s="3" t="s">
        <v>264</v>
      </c>
      <c r="G282" s="3" t="s">
        <v>30</v>
      </c>
      <c r="H282" s="3" t="s">
        <v>22</v>
      </c>
      <c r="I282" s="3" t="s">
        <v>68</v>
      </c>
      <c r="J282" s="3" t="s">
        <v>69</v>
      </c>
      <c r="K282" s="3" t="s">
        <v>25</v>
      </c>
      <c r="L282" s="3" t="s">
        <v>26</v>
      </c>
      <c r="M282" s="3" t="s">
        <v>155</v>
      </c>
      <c r="N282" s="3">
        <v>2</v>
      </c>
      <c r="O282" s="3">
        <v>0.3</v>
      </c>
      <c r="P282" s="3">
        <v>47.79</v>
      </c>
      <c r="Q282" s="3">
        <v>6.59</v>
      </c>
    </row>
    <row r="283" spans="1:17" x14ac:dyDescent="0.3">
      <c r="A283" s="3">
        <v>279</v>
      </c>
      <c r="B283" s="3" t="s">
        <v>593</v>
      </c>
      <c r="C283" s="3" t="s">
        <v>1414</v>
      </c>
      <c r="D283" s="3" t="s">
        <v>1415</v>
      </c>
      <c r="E283" s="3" t="s">
        <v>62</v>
      </c>
      <c r="F283" s="3" t="s">
        <v>280</v>
      </c>
      <c r="G283" s="3" t="s">
        <v>30</v>
      </c>
      <c r="H283" s="3" t="s">
        <v>22</v>
      </c>
      <c r="I283" s="3" t="s">
        <v>23</v>
      </c>
      <c r="J283" s="3" t="s">
        <v>24</v>
      </c>
      <c r="K283" s="3" t="s">
        <v>33</v>
      </c>
      <c r="L283" s="3" t="s">
        <v>95</v>
      </c>
      <c r="M283" s="3" t="s">
        <v>96</v>
      </c>
      <c r="N283" s="3">
        <v>10</v>
      </c>
      <c r="O283" s="3">
        <v>0.15</v>
      </c>
      <c r="P283" s="3">
        <v>5535.11</v>
      </c>
      <c r="Q283" s="3">
        <v>-30</v>
      </c>
    </row>
    <row r="284" spans="1:17" x14ac:dyDescent="0.3">
      <c r="A284" s="3">
        <v>280</v>
      </c>
      <c r="B284" s="3" t="s">
        <v>594</v>
      </c>
      <c r="C284" s="3" t="s">
        <v>1262</v>
      </c>
      <c r="D284" s="3" t="s">
        <v>1416</v>
      </c>
      <c r="E284" s="3" t="s">
        <v>37</v>
      </c>
      <c r="F284" s="3" t="s">
        <v>595</v>
      </c>
      <c r="G284" s="3" t="s">
        <v>21</v>
      </c>
      <c r="H284" s="3" t="s">
        <v>90</v>
      </c>
      <c r="I284" s="3" t="s">
        <v>169</v>
      </c>
      <c r="J284" s="3" t="s">
        <v>170</v>
      </c>
      <c r="K284" s="3" t="s">
        <v>25</v>
      </c>
      <c r="L284" s="3" t="s">
        <v>53</v>
      </c>
      <c r="M284" s="3" t="s">
        <v>171</v>
      </c>
      <c r="N284" s="3">
        <v>13</v>
      </c>
      <c r="O284" s="3">
        <v>0</v>
      </c>
      <c r="P284" s="3">
        <v>1170.29</v>
      </c>
      <c r="Q284" s="3">
        <v>199.57</v>
      </c>
    </row>
    <row r="285" spans="1:17" x14ac:dyDescent="0.3">
      <c r="A285" s="3">
        <v>281</v>
      </c>
      <c r="B285" s="3" t="s">
        <v>596</v>
      </c>
      <c r="C285" s="3" t="s">
        <v>1417</v>
      </c>
      <c r="D285" s="3" t="s">
        <v>1418</v>
      </c>
      <c r="E285" s="3" t="s">
        <v>19</v>
      </c>
      <c r="F285" s="3" t="s">
        <v>145</v>
      </c>
      <c r="G285" s="3" t="s">
        <v>30</v>
      </c>
      <c r="H285" s="3" t="s">
        <v>46</v>
      </c>
      <c r="I285" s="3" t="s">
        <v>47</v>
      </c>
      <c r="J285" s="3" t="s">
        <v>48</v>
      </c>
      <c r="K285" s="3" t="s">
        <v>33</v>
      </c>
      <c r="L285" s="3" t="s">
        <v>34</v>
      </c>
      <c r="M285" s="3" t="s">
        <v>597</v>
      </c>
      <c r="N285" s="3">
        <v>11</v>
      </c>
      <c r="O285" s="3">
        <v>0</v>
      </c>
      <c r="P285" s="3">
        <v>503.83</v>
      </c>
      <c r="Q285" s="3">
        <v>35.31</v>
      </c>
    </row>
    <row r="286" spans="1:17" x14ac:dyDescent="0.3">
      <c r="A286" s="3">
        <v>282</v>
      </c>
      <c r="B286" s="3" t="s">
        <v>598</v>
      </c>
      <c r="C286" s="3" t="s">
        <v>1165</v>
      </c>
      <c r="D286" s="3" t="s">
        <v>1419</v>
      </c>
      <c r="E286" s="3" t="s">
        <v>37</v>
      </c>
      <c r="F286" s="3" t="s">
        <v>468</v>
      </c>
      <c r="G286" s="3" t="s">
        <v>39</v>
      </c>
      <c r="H286" s="3" t="s">
        <v>46</v>
      </c>
      <c r="I286" s="3" t="s">
        <v>281</v>
      </c>
      <c r="J286" s="3" t="s">
        <v>282</v>
      </c>
      <c r="K286" s="3" t="s">
        <v>58</v>
      </c>
      <c r="L286" s="3" t="s">
        <v>59</v>
      </c>
      <c r="M286" s="3" t="s">
        <v>295</v>
      </c>
      <c r="N286" s="3">
        <v>2</v>
      </c>
      <c r="O286" s="3">
        <v>0.3</v>
      </c>
      <c r="P286" s="3">
        <v>90.33</v>
      </c>
      <c r="Q286" s="3">
        <v>6.53</v>
      </c>
    </row>
    <row r="287" spans="1:17" x14ac:dyDescent="0.3">
      <c r="A287" s="3">
        <v>283</v>
      </c>
      <c r="B287" s="3" t="s">
        <v>599</v>
      </c>
      <c r="C287" s="3" t="s">
        <v>1420</v>
      </c>
      <c r="D287" s="3" t="s">
        <v>1421</v>
      </c>
      <c r="E287" s="3" t="s">
        <v>62</v>
      </c>
      <c r="F287" s="3" t="s">
        <v>157</v>
      </c>
      <c r="G287" s="3" t="s">
        <v>39</v>
      </c>
      <c r="H287" s="3" t="s">
        <v>40</v>
      </c>
      <c r="I287" s="3" t="s">
        <v>185</v>
      </c>
      <c r="J287" s="3" t="s">
        <v>186</v>
      </c>
      <c r="K287" s="3" t="s">
        <v>58</v>
      </c>
      <c r="L287" s="3" t="s">
        <v>86</v>
      </c>
      <c r="M287" s="3" t="s">
        <v>87</v>
      </c>
      <c r="N287" s="3">
        <v>10</v>
      </c>
      <c r="O287" s="3">
        <v>0.1</v>
      </c>
      <c r="P287" s="3">
        <v>4096.62</v>
      </c>
      <c r="Q287" s="3">
        <v>-742.42</v>
      </c>
    </row>
    <row r="288" spans="1:17" x14ac:dyDescent="0.3">
      <c r="A288" s="3">
        <v>284</v>
      </c>
      <c r="B288" s="3" t="s">
        <v>600</v>
      </c>
      <c r="C288" s="3" t="s">
        <v>1422</v>
      </c>
      <c r="D288" s="3" t="s">
        <v>1423</v>
      </c>
      <c r="E288" s="3" t="s">
        <v>56</v>
      </c>
      <c r="F288" s="3" t="s">
        <v>601</v>
      </c>
      <c r="G288" s="3" t="s">
        <v>30</v>
      </c>
      <c r="H288" s="3" t="s">
        <v>46</v>
      </c>
      <c r="I288" s="3" t="s">
        <v>257</v>
      </c>
      <c r="J288" s="3" t="s">
        <v>258</v>
      </c>
      <c r="K288" s="3" t="s">
        <v>25</v>
      </c>
      <c r="L288" s="3" t="s">
        <v>26</v>
      </c>
      <c r="M288" s="3" t="s">
        <v>155</v>
      </c>
      <c r="N288" s="3">
        <v>6</v>
      </c>
      <c r="O288" s="3">
        <v>0.1</v>
      </c>
      <c r="P288" s="3">
        <v>256.91000000000003</v>
      </c>
      <c r="Q288" s="3">
        <v>-48.81</v>
      </c>
    </row>
    <row r="289" spans="1:17" x14ac:dyDescent="0.3">
      <c r="A289" s="3">
        <v>285</v>
      </c>
      <c r="B289" s="3" t="s">
        <v>602</v>
      </c>
      <c r="C289" s="3" t="s">
        <v>1032</v>
      </c>
      <c r="D289" s="3" t="s">
        <v>1424</v>
      </c>
      <c r="E289" s="3" t="s">
        <v>19</v>
      </c>
      <c r="F289" s="3" t="s">
        <v>603</v>
      </c>
      <c r="G289" s="3" t="s">
        <v>21</v>
      </c>
      <c r="H289" s="3" t="s">
        <v>46</v>
      </c>
      <c r="I289" s="3" t="s">
        <v>47</v>
      </c>
      <c r="J289" s="3" t="s">
        <v>48</v>
      </c>
      <c r="K289" s="3" t="s">
        <v>25</v>
      </c>
      <c r="L289" s="3" t="s">
        <v>53</v>
      </c>
      <c r="M289" s="3" t="s">
        <v>171</v>
      </c>
      <c r="N289" s="3">
        <v>10</v>
      </c>
      <c r="O289" s="3">
        <v>0.2</v>
      </c>
      <c r="P289" s="3">
        <v>423.1</v>
      </c>
      <c r="Q289" s="3">
        <v>137.59</v>
      </c>
    </row>
    <row r="290" spans="1:17" x14ac:dyDescent="0.3">
      <c r="A290" s="3">
        <v>286</v>
      </c>
      <c r="B290" s="3" t="s">
        <v>604</v>
      </c>
      <c r="C290" s="3" t="s">
        <v>1185</v>
      </c>
      <c r="D290" s="3" t="s">
        <v>1425</v>
      </c>
      <c r="E290" s="3" t="s">
        <v>37</v>
      </c>
      <c r="F290" s="3" t="s">
        <v>605</v>
      </c>
      <c r="G290" s="3" t="s">
        <v>21</v>
      </c>
      <c r="H290" s="3" t="s">
        <v>90</v>
      </c>
      <c r="I290" s="3" t="s">
        <v>99</v>
      </c>
      <c r="J290" s="3" t="s">
        <v>100</v>
      </c>
      <c r="K290" s="3" t="s">
        <v>58</v>
      </c>
      <c r="L290" s="3" t="s">
        <v>86</v>
      </c>
      <c r="M290" s="3" t="s">
        <v>133</v>
      </c>
      <c r="N290" s="3">
        <v>8</v>
      </c>
      <c r="O290" s="3">
        <v>0.15</v>
      </c>
      <c r="P290" s="3">
        <v>1828.39</v>
      </c>
      <c r="Q290" s="3">
        <v>77.13</v>
      </c>
    </row>
    <row r="291" spans="1:17" x14ac:dyDescent="0.3">
      <c r="A291" s="3">
        <v>287</v>
      </c>
      <c r="B291" s="3" t="s">
        <v>606</v>
      </c>
      <c r="C291" s="3" t="s">
        <v>1426</v>
      </c>
      <c r="D291" s="3" t="s">
        <v>1427</v>
      </c>
      <c r="E291" s="3" t="s">
        <v>56</v>
      </c>
      <c r="F291" s="3" t="s">
        <v>607</v>
      </c>
      <c r="G291" s="3" t="s">
        <v>30</v>
      </c>
      <c r="H291" s="3" t="s">
        <v>40</v>
      </c>
      <c r="I291" s="3" t="s">
        <v>223</v>
      </c>
      <c r="J291" s="3" t="s">
        <v>224</v>
      </c>
      <c r="K291" s="3" t="s">
        <v>33</v>
      </c>
      <c r="L291" s="3" t="s">
        <v>49</v>
      </c>
      <c r="M291" s="3" t="s">
        <v>50</v>
      </c>
      <c r="N291" s="3">
        <v>9</v>
      </c>
      <c r="O291" s="3">
        <v>0.3</v>
      </c>
      <c r="P291" s="3">
        <v>3696.54</v>
      </c>
      <c r="Q291" s="3">
        <v>781.89</v>
      </c>
    </row>
    <row r="292" spans="1:17" x14ac:dyDescent="0.3">
      <c r="A292" s="3">
        <v>288</v>
      </c>
      <c r="B292" s="3" t="s">
        <v>608</v>
      </c>
      <c r="C292" s="3" t="s">
        <v>1428</v>
      </c>
      <c r="D292" s="3" t="s">
        <v>1360</v>
      </c>
      <c r="E292" s="3" t="s">
        <v>19</v>
      </c>
      <c r="F292" s="3" t="s">
        <v>609</v>
      </c>
      <c r="G292" s="3" t="s">
        <v>39</v>
      </c>
      <c r="H292" s="3" t="s">
        <v>40</v>
      </c>
      <c r="I292" s="3" t="s">
        <v>41</v>
      </c>
      <c r="J292" s="3" t="s">
        <v>42</v>
      </c>
      <c r="K292" s="3" t="s">
        <v>25</v>
      </c>
      <c r="L292" s="3" t="s">
        <v>80</v>
      </c>
      <c r="M292" s="3" t="s">
        <v>150</v>
      </c>
      <c r="N292" s="3">
        <v>9</v>
      </c>
      <c r="O292" s="3">
        <v>0.3</v>
      </c>
      <c r="P292" s="3">
        <v>509.65</v>
      </c>
      <c r="Q292" s="3">
        <v>-16.149999999999999</v>
      </c>
    </row>
    <row r="293" spans="1:17" x14ac:dyDescent="0.3">
      <c r="A293" s="3">
        <v>289</v>
      </c>
      <c r="B293" s="3" t="s">
        <v>610</v>
      </c>
      <c r="C293" s="3" t="s">
        <v>1327</v>
      </c>
      <c r="D293" s="3" t="s">
        <v>937</v>
      </c>
      <c r="E293" s="3" t="s">
        <v>19</v>
      </c>
      <c r="F293" s="3" t="s">
        <v>77</v>
      </c>
      <c r="G293" s="3" t="s">
        <v>39</v>
      </c>
      <c r="H293" s="3" t="s">
        <v>40</v>
      </c>
      <c r="I293" s="3" t="s">
        <v>185</v>
      </c>
      <c r="J293" s="3" t="s">
        <v>186</v>
      </c>
      <c r="K293" s="3" t="s">
        <v>33</v>
      </c>
      <c r="L293" s="3" t="s">
        <v>95</v>
      </c>
      <c r="M293" s="3" t="s">
        <v>120</v>
      </c>
      <c r="N293" s="3">
        <v>4</v>
      </c>
      <c r="O293" s="3">
        <v>0.1</v>
      </c>
      <c r="P293" s="3">
        <v>2091.3000000000002</v>
      </c>
      <c r="Q293" s="3">
        <v>-443.95</v>
      </c>
    </row>
    <row r="294" spans="1:17" x14ac:dyDescent="0.3">
      <c r="A294" s="3">
        <v>290</v>
      </c>
      <c r="B294" s="3" t="s">
        <v>611</v>
      </c>
      <c r="C294" s="3" t="s">
        <v>1407</v>
      </c>
      <c r="D294" s="3" t="s">
        <v>1429</v>
      </c>
      <c r="E294" s="3" t="s">
        <v>19</v>
      </c>
      <c r="F294" s="3" t="s">
        <v>612</v>
      </c>
      <c r="G294" s="3" t="s">
        <v>39</v>
      </c>
      <c r="H294" s="3" t="s">
        <v>46</v>
      </c>
      <c r="I294" s="3" t="s">
        <v>146</v>
      </c>
      <c r="J294" s="3" t="s">
        <v>147</v>
      </c>
      <c r="K294" s="3" t="s">
        <v>25</v>
      </c>
      <c r="L294" s="3" t="s">
        <v>74</v>
      </c>
      <c r="M294" s="3" t="s">
        <v>75</v>
      </c>
      <c r="N294" s="3">
        <v>6</v>
      </c>
      <c r="O294" s="3">
        <v>0.15</v>
      </c>
      <c r="P294" s="3">
        <v>81.25</v>
      </c>
      <c r="Q294" s="3">
        <v>20.39</v>
      </c>
    </row>
    <row r="295" spans="1:17" x14ac:dyDescent="0.3">
      <c r="A295" s="3">
        <v>291</v>
      </c>
      <c r="B295" s="3" t="s">
        <v>613</v>
      </c>
      <c r="C295" s="3" t="s">
        <v>1188</v>
      </c>
      <c r="D295" s="3" t="s">
        <v>1430</v>
      </c>
      <c r="E295" s="3" t="s">
        <v>62</v>
      </c>
      <c r="F295" s="3" t="s">
        <v>614</v>
      </c>
      <c r="G295" s="3" t="s">
        <v>30</v>
      </c>
      <c r="H295" s="3" t="s">
        <v>90</v>
      </c>
      <c r="I295" s="3" t="s">
        <v>110</v>
      </c>
      <c r="J295" s="3" t="s">
        <v>111</v>
      </c>
      <c r="K295" s="3" t="s">
        <v>25</v>
      </c>
      <c r="L295" s="3" t="s">
        <v>53</v>
      </c>
      <c r="M295" s="3" t="s">
        <v>139</v>
      </c>
      <c r="N295" s="3">
        <v>7</v>
      </c>
      <c r="O295" s="3">
        <v>0.1</v>
      </c>
      <c r="P295" s="3">
        <v>792.91</v>
      </c>
      <c r="Q295" s="3">
        <v>47.43</v>
      </c>
    </row>
    <row r="296" spans="1:17" x14ac:dyDescent="0.3">
      <c r="A296" s="3">
        <v>292</v>
      </c>
      <c r="B296" s="3" t="s">
        <v>615</v>
      </c>
      <c r="C296" s="3" t="s">
        <v>1431</v>
      </c>
      <c r="D296" s="3" t="s">
        <v>1432</v>
      </c>
      <c r="E296" s="3" t="s">
        <v>56</v>
      </c>
      <c r="F296" s="3" t="s">
        <v>616</v>
      </c>
      <c r="G296" s="3" t="s">
        <v>30</v>
      </c>
      <c r="H296" s="3" t="s">
        <v>40</v>
      </c>
      <c r="I296" s="3" t="s">
        <v>185</v>
      </c>
      <c r="J296" s="3" t="s">
        <v>186</v>
      </c>
      <c r="K296" s="3" t="s">
        <v>33</v>
      </c>
      <c r="L296" s="3" t="s">
        <v>49</v>
      </c>
      <c r="M296" s="3" t="s">
        <v>286</v>
      </c>
      <c r="N296" s="3">
        <v>3</v>
      </c>
      <c r="O296" s="3">
        <v>0</v>
      </c>
      <c r="P296" s="3">
        <v>393.65</v>
      </c>
      <c r="Q296" s="3">
        <v>57.73</v>
      </c>
    </row>
    <row r="297" spans="1:17" x14ac:dyDescent="0.3">
      <c r="A297" s="3">
        <v>293</v>
      </c>
      <c r="B297" s="3" t="s">
        <v>617</v>
      </c>
      <c r="C297" s="3" t="s">
        <v>1427</v>
      </c>
      <c r="D297" s="3" t="s">
        <v>1433</v>
      </c>
      <c r="E297" s="3" t="s">
        <v>19</v>
      </c>
      <c r="F297" s="3" t="s">
        <v>618</v>
      </c>
      <c r="G297" s="3" t="s">
        <v>21</v>
      </c>
      <c r="H297" s="3" t="s">
        <v>90</v>
      </c>
      <c r="I297" s="3" t="s">
        <v>104</v>
      </c>
      <c r="J297" s="3" t="s">
        <v>105</v>
      </c>
      <c r="K297" s="3" t="s">
        <v>25</v>
      </c>
      <c r="L297" s="3" t="s">
        <v>53</v>
      </c>
      <c r="M297" s="3" t="s">
        <v>54</v>
      </c>
      <c r="N297" s="3">
        <v>1</v>
      </c>
      <c r="O297" s="3">
        <v>0</v>
      </c>
      <c r="P297" s="3">
        <v>17.09</v>
      </c>
      <c r="Q297" s="3">
        <v>-2.89</v>
      </c>
    </row>
    <row r="298" spans="1:17" x14ac:dyDescent="0.3">
      <c r="A298" s="3">
        <v>294</v>
      </c>
      <c r="B298" s="3" t="s">
        <v>619</v>
      </c>
      <c r="C298" s="3" t="s">
        <v>1434</v>
      </c>
      <c r="D298" s="3" t="s">
        <v>1228</v>
      </c>
      <c r="E298" s="3" t="s">
        <v>56</v>
      </c>
      <c r="F298" s="3" t="s">
        <v>620</v>
      </c>
      <c r="G298" s="3" t="s">
        <v>30</v>
      </c>
      <c r="H298" s="3" t="s">
        <v>46</v>
      </c>
      <c r="I298" s="3" t="s">
        <v>78</v>
      </c>
      <c r="J298" s="3" t="s">
        <v>79</v>
      </c>
      <c r="K298" s="3" t="s">
        <v>25</v>
      </c>
      <c r="L298" s="3" t="s">
        <v>74</v>
      </c>
      <c r="M298" s="3" t="s">
        <v>101</v>
      </c>
      <c r="N298" s="3">
        <v>1</v>
      </c>
      <c r="O298" s="3">
        <v>0.15</v>
      </c>
      <c r="P298" s="3">
        <v>100.91</v>
      </c>
      <c r="Q298" s="3">
        <v>32.119999999999997</v>
      </c>
    </row>
    <row r="299" spans="1:17" x14ac:dyDescent="0.3">
      <c r="A299" s="3">
        <v>295</v>
      </c>
      <c r="B299" s="3" t="s">
        <v>621</v>
      </c>
      <c r="C299" s="3" t="s">
        <v>1435</v>
      </c>
      <c r="D299" s="3" t="s">
        <v>1436</v>
      </c>
      <c r="E299" s="3" t="s">
        <v>62</v>
      </c>
      <c r="F299" s="3" t="s">
        <v>620</v>
      </c>
      <c r="G299" s="3" t="s">
        <v>39</v>
      </c>
      <c r="H299" s="3" t="s">
        <v>40</v>
      </c>
      <c r="I299" s="3" t="s">
        <v>114</v>
      </c>
      <c r="J299" s="3" t="s">
        <v>115</v>
      </c>
      <c r="K299" s="3" t="s">
        <v>58</v>
      </c>
      <c r="L299" s="3" t="s">
        <v>86</v>
      </c>
      <c r="M299" s="3" t="s">
        <v>133</v>
      </c>
      <c r="N299" s="3">
        <v>11</v>
      </c>
      <c r="O299" s="3">
        <v>0</v>
      </c>
      <c r="P299" s="3">
        <v>2970.86</v>
      </c>
      <c r="Q299" s="3">
        <v>548.16</v>
      </c>
    </row>
    <row r="300" spans="1:17" x14ac:dyDescent="0.3">
      <c r="A300" s="3">
        <v>296</v>
      </c>
      <c r="B300" s="3" t="s">
        <v>622</v>
      </c>
      <c r="C300" s="3" t="s">
        <v>1437</v>
      </c>
      <c r="D300" s="3" t="s">
        <v>1215</v>
      </c>
      <c r="E300" s="3" t="s">
        <v>62</v>
      </c>
      <c r="F300" s="3" t="s">
        <v>623</v>
      </c>
      <c r="G300" s="3" t="s">
        <v>39</v>
      </c>
      <c r="H300" s="3" t="s">
        <v>40</v>
      </c>
      <c r="I300" s="3" t="s">
        <v>185</v>
      </c>
      <c r="J300" s="3" t="s">
        <v>186</v>
      </c>
      <c r="K300" s="3" t="s">
        <v>25</v>
      </c>
      <c r="L300" s="3" t="s">
        <v>116</v>
      </c>
      <c r="M300" s="3" t="s">
        <v>202</v>
      </c>
      <c r="N300" s="3">
        <v>14</v>
      </c>
      <c r="O300" s="3">
        <v>0.3</v>
      </c>
      <c r="P300" s="3">
        <v>1392.51</v>
      </c>
      <c r="Q300" s="3">
        <v>342.43</v>
      </c>
    </row>
    <row r="301" spans="1:17" x14ac:dyDescent="0.3">
      <c r="A301" s="3">
        <v>297</v>
      </c>
      <c r="B301" s="3" t="s">
        <v>624</v>
      </c>
      <c r="C301" s="3" t="s">
        <v>1438</v>
      </c>
      <c r="D301" s="3" t="s">
        <v>966</v>
      </c>
      <c r="E301" s="3" t="s">
        <v>19</v>
      </c>
      <c r="F301" s="3" t="s">
        <v>113</v>
      </c>
      <c r="G301" s="3" t="s">
        <v>30</v>
      </c>
      <c r="H301" s="3" t="s">
        <v>22</v>
      </c>
      <c r="I301" s="3" t="s">
        <v>23</v>
      </c>
      <c r="J301" s="3" t="s">
        <v>24</v>
      </c>
      <c r="K301" s="3" t="s">
        <v>25</v>
      </c>
      <c r="L301" s="3" t="s">
        <v>26</v>
      </c>
      <c r="M301" s="3" t="s">
        <v>155</v>
      </c>
      <c r="N301" s="3">
        <v>1</v>
      </c>
      <c r="O301" s="3">
        <v>0.3</v>
      </c>
      <c r="P301" s="3">
        <v>98.14</v>
      </c>
      <c r="Q301" s="3">
        <v>6.21</v>
      </c>
    </row>
    <row r="302" spans="1:17" x14ac:dyDescent="0.3">
      <c r="A302" s="3">
        <v>298</v>
      </c>
      <c r="B302" s="3" t="s">
        <v>625</v>
      </c>
      <c r="C302" s="3" t="s">
        <v>1245</v>
      </c>
      <c r="D302" s="3" t="s">
        <v>1439</v>
      </c>
      <c r="E302" s="3" t="s">
        <v>56</v>
      </c>
      <c r="F302" s="3" t="s">
        <v>626</v>
      </c>
      <c r="G302" s="3" t="s">
        <v>39</v>
      </c>
      <c r="H302" s="3" t="s">
        <v>90</v>
      </c>
      <c r="I302" s="3" t="s">
        <v>110</v>
      </c>
      <c r="J302" s="3" t="s">
        <v>111</v>
      </c>
      <c r="K302" s="3" t="s">
        <v>25</v>
      </c>
      <c r="L302" s="3" t="s">
        <v>53</v>
      </c>
      <c r="M302" s="3" t="s">
        <v>171</v>
      </c>
      <c r="N302" s="3">
        <v>7</v>
      </c>
      <c r="O302" s="3">
        <v>0.4</v>
      </c>
      <c r="P302" s="3">
        <v>109.64</v>
      </c>
      <c r="Q302" s="3">
        <v>22.97</v>
      </c>
    </row>
    <row r="303" spans="1:17" x14ac:dyDescent="0.3">
      <c r="A303" s="3">
        <v>299</v>
      </c>
      <c r="B303" s="3" t="s">
        <v>627</v>
      </c>
      <c r="C303" s="3" t="s">
        <v>1440</v>
      </c>
      <c r="D303" s="3" t="s">
        <v>1441</v>
      </c>
      <c r="E303" s="3" t="s">
        <v>37</v>
      </c>
      <c r="F303" s="3" t="s">
        <v>573</v>
      </c>
      <c r="G303" s="3" t="s">
        <v>39</v>
      </c>
      <c r="H303" s="3" t="s">
        <v>46</v>
      </c>
      <c r="I303" s="3" t="s">
        <v>78</v>
      </c>
      <c r="J303" s="3" t="s">
        <v>79</v>
      </c>
      <c r="K303" s="3" t="s">
        <v>33</v>
      </c>
      <c r="L303" s="3" t="s">
        <v>49</v>
      </c>
      <c r="M303" s="3" t="s">
        <v>50</v>
      </c>
      <c r="N303" s="3">
        <v>7</v>
      </c>
      <c r="O303" s="3">
        <v>0.2</v>
      </c>
      <c r="P303" s="3">
        <v>3071.67</v>
      </c>
      <c r="Q303" s="3">
        <v>-14.42</v>
      </c>
    </row>
    <row r="304" spans="1:17" x14ac:dyDescent="0.3">
      <c r="A304" s="3">
        <v>300</v>
      </c>
      <c r="B304" s="3" t="s">
        <v>628</v>
      </c>
      <c r="C304" s="3" t="s">
        <v>1442</v>
      </c>
      <c r="D304" s="3" t="s">
        <v>1355</v>
      </c>
      <c r="E304" s="3" t="s">
        <v>56</v>
      </c>
      <c r="F304" s="3" t="s">
        <v>629</v>
      </c>
      <c r="G304" s="3" t="s">
        <v>39</v>
      </c>
      <c r="H304" s="3" t="s">
        <v>46</v>
      </c>
      <c r="I304" s="3" t="s">
        <v>47</v>
      </c>
      <c r="J304" s="3" t="s">
        <v>48</v>
      </c>
      <c r="K304" s="3" t="s">
        <v>25</v>
      </c>
      <c r="L304" s="3" t="s">
        <v>106</v>
      </c>
      <c r="M304" s="3" t="s">
        <v>136</v>
      </c>
      <c r="N304" s="3">
        <v>7</v>
      </c>
      <c r="O304" s="3">
        <v>0.3</v>
      </c>
      <c r="P304" s="3">
        <v>580.22</v>
      </c>
      <c r="Q304" s="3">
        <v>47.15</v>
      </c>
    </row>
    <row r="305" spans="1:17" x14ac:dyDescent="0.3">
      <c r="A305" s="3">
        <v>301</v>
      </c>
      <c r="B305" s="3" t="s">
        <v>630</v>
      </c>
      <c r="C305" s="3" t="s">
        <v>1443</v>
      </c>
      <c r="D305" s="3" t="s">
        <v>1444</v>
      </c>
      <c r="E305" s="3" t="s">
        <v>56</v>
      </c>
      <c r="F305" s="3" t="s">
        <v>631</v>
      </c>
      <c r="G305" s="3" t="s">
        <v>39</v>
      </c>
      <c r="H305" s="3" t="s">
        <v>46</v>
      </c>
      <c r="I305" s="3" t="s">
        <v>281</v>
      </c>
      <c r="J305" s="3" t="s">
        <v>282</v>
      </c>
      <c r="K305" s="3" t="s">
        <v>25</v>
      </c>
      <c r="L305" s="3" t="s">
        <v>53</v>
      </c>
      <c r="M305" s="3" t="s">
        <v>54</v>
      </c>
      <c r="N305" s="3">
        <v>14</v>
      </c>
      <c r="O305" s="3">
        <v>0.1</v>
      </c>
      <c r="P305" s="3">
        <v>1083.6199999999999</v>
      </c>
      <c r="Q305" s="3">
        <v>19.46</v>
      </c>
    </row>
    <row r="306" spans="1:17" x14ac:dyDescent="0.3">
      <c r="A306" s="3">
        <v>302</v>
      </c>
      <c r="B306" s="3" t="s">
        <v>632</v>
      </c>
      <c r="C306" s="3" t="s">
        <v>1445</v>
      </c>
      <c r="D306" s="3" t="s">
        <v>1089</v>
      </c>
      <c r="E306" s="3" t="s">
        <v>62</v>
      </c>
      <c r="F306" s="3" t="s">
        <v>633</v>
      </c>
      <c r="G306" s="3" t="s">
        <v>30</v>
      </c>
      <c r="H306" s="3" t="s">
        <v>46</v>
      </c>
      <c r="I306" s="3" t="s">
        <v>47</v>
      </c>
      <c r="J306" s="3" t="s">
        <v>48</v>
      </c>
      <c r="K306" s="3" t="s">
        <v>25</v>
      </c>
      <c r="L306" s="3" t="s">
        <v>53</v>
      </c>
      <c r="M306" s="3" t="s">
        <v>171</v>
      </c>
      <c r="N306" s="3">
        <v>7</v>
      </c>
      <c r="O306" s="3">
        <v>0</v>
      </c>
      <c r="P306" s="3">
        <v>810.74</v>
      </c>
      <c r="Q306" s="3">
        <v>188.6</v>
      </c>
    </row>
    <row r="307" spans="1:17" x14ac:dyDescent="0.3">
      <c r="A307" s="3">
        <v>303</v>
      </c>
      <c r="B307" s="3" t="s">
        <v>634</v>
      </c>
      <c r="C307" s="3" t="s">
        <v>1446</v>
      </c>
      <c r="D307" s="3" t="s">
        <v>1358</v>
      </c>
      <c r="E307" s="3" t="s">
        <v>56</v>
      </c>
      <c r="F307" s="3" t="s">
        <v>488</v>
      </c>
      <c r="G307" s="3" t="s">
        <v>21</v>
      </c>
      <c r="H307" s="3" t="s">
        <v>22</v>
      </c>
      <c r="I307" s="3" t="s">
        <v>72</v>
      </c>
      <c r="J307" s="3" t="s">
        <v>73</v>
      </c>
      <c r="K307" s="3" t="s">
        <v>25</v>
      </c>
      <c r="L307" s="3" t="s">
        <v>116</v>
      </c>
      <c r="M307" s="3" t="s">
        <v>117</v>
      </c>
      <c r="N307" s="3">
        <v>7</v>
      </c>
      <c r="O307" s="3">
        <v>0.3</v>
      </c>
      <c r="P307" s="3">
        <v>712.3</v>
      </c>
      <c r="Q307" s="3">
        <v>84.32</v>
      </c>
    </row>
    <row r="308" spans="1:17" x14ac:dyDescent="0.3">
      <c r="A308" s="3">
        <v>304</v>
      </c>
      <c r="B308" s="3" t="s">
        <v>635</v>
      </c>
      <c r="C308" s="3" t="s">
        <v>1447</v>
      </c>
      <c r="D308" s="3" t="s">
        <v>1448</v>
      </c>
      <c r="E308" s="3" t="s">
        <v>62</v>
      </c>
      <c r="F308" s="3" t="s">
        <v>539</v>
      </c>
      <c r="G308" s="3" t="s">
        <v>39</v>
      </c>
      <c r="H308" s="3" t="s">
        <v>90</v>
      </c>
      <c r="I308" s="3" t="s">
        <v>169</v>
      </c>
      <c r="J308" s="3" t="s">
        <v>170</v>
      </c>
      <c r="K308" s="3" t="s">
        <v>33</v>
      </c>
      <c r="L308" s="3" t="s">
        <v>64</v>
      </c>
      <c r="M308" s="3" t="s">
        <v>126</v>
      </c>
      <c r="N308" s="3">
        <v>10</v>
      </c>
      <c r="O308" s="3">
        <v>0.1</v>
      </c>
      <c r="P308" s="3">
        <v>3585.31</v>
      </c>
      <c r="Q308" s="3">
        <v>427.06</v>
      </c>
    </row>
    <row r="309" spans="1:17" x14ac:dyDescent="0.3">
      <c r="A309" s="3">
        <v>305</v>
      </c>
      <c r="B309" s="3" t="s">
        <v>636</v>
      </c>
      <c r="C309" s="3" t="s">
        <v>1449</v>
      </c>
      <c r="D309" s="3" t="s">
        <v>1450</v>
      </c>
      <c r="E309" s="3" t="s">
        <v>37</v>
      </c>
      <c r="F309" s="3" t="s">
        <v>261</v>
      </c>
      <c r="G309" s="3" t="s">
        <v>30</v>
      </c>
      <c r="H309" s="3" t="s">
        <v>40</v>
      </c>
      <c r="I309" s="3" t="s">
        <v>158</v>
      </c>
      <c r="J309" s="3" t="s">
        <v>159</v>
      </c>
      <c r="K309" s="3" t="s">
        <v>58</v>
      </c>
      <c r="L309" s="3" t="s">
        <v>217</v>
      </c>
      <c r="M309" s="3" t="s">
        <v>218</v>
      </c>
      <c r="N309" s="3">
        <v>7</v>
      </c>
      <c r="O309" s="3">
        <v>0</v>
      </c>
      <c r="P309" s="3">
        <v>2138.1999999999998</v>
      </c>
      <c r="Q309" s="3">
        <v>410.87</v>
      </c>
    </row>
    <row r="310" spans="1:17" x14ac:dyDescent="0.3">
      <c r="A310" s="3">
        <v>306</v>
      </c>
      <c r="B310" s="3" t="s">
        <v>1451</v>
      </c>
      <c r="C310" s="3" t="s">
        <v>1040</v>
      </c>
      <c r="D310" s="3" t="s">
        <v>979</v>
      </c>
      <c r="E310" s="3" t="s">
        <v>62</v>
      </c>
      <c r="F310" s="3" t="s">
        <v>537</v>
      </c>
      <c r="G310" s="3" t="s">
        <v>30</v>
      </c>
      <c r="H310" s="3" t="s">
        <v>46</v>
      </c>
      <c r="I310" s="3" t="s">
        <v>281</v>
      </c>
      <c r="J310" s="3" t="s">
        <v>282</v>
      </c>
      <c r="K310" s="3" t="s">
        <v>25</v>
      </c>
      <c r="L310" s="3" t="s">
        <v>26</v>
      </c>
      <c r="M310" s="3" t="s">
        <v>259</v>
      </c>
      <c r="N310" s="3">
        <v>1</v>
      </c>
      <c r="O310" s="3">
        <v>0.3</v>
      </c>
      <c r="P310" s="3"/>
      <c r="Q310" s="3">
        <v>1.6</v>
      </c>
    </row>
    <row r="311" spans="1:17" x14ac:dyDescent="0.3">
      <c r="A311" s="3">
        <v>307</v>
      </c>
      <c r="B311" s="3" t="s">
        <v>637</v>
      </c>
      <c r="C311" s="3" t="s">
        <v>1452</v>
      </c>
      <c r="D311" s="3" t="s">
        <v>1061</v>
      </c>
      <c r="E311" s="3" t="s">
        <v>56</v>
      </c>
      <c r="F311" s="3" t="s">
        <v>438</v>
      </c>
      <c r="G311" s="3" t="s">
        <v>21</v>
      </c>
      <c r="H311" s="3" t="s">
        <v>46</v>
      </c>
      <c r="I311" s="3" t="s">
        <v>47</v>
      </c>
      <c r="J311" s="3" t="s">
        <v>48</v>
      </c>
      <c r="K311" s="3" t="s">
        <v>58</v>
      </c>
      <c r="L311" s="3" t="s">
        <v>199</v>
      </c>
      <c r="M311" s="3" t="s">
        <v>205</v>
      </c>
      <c r="N311" s="3">
        <v>10</v>
      </c>
      <c r="O311" s="3">
        <v>0.1</v>
      </c>
      <c r="P311" s="3">
        <v>2495.87</v>
      </c>
      <c r="Q311" s="3">
        <v>510.37</v>
      </c>
    </row>
    <row r="312" spans="1:17" x14ac:dyDescent="0.3">
      <c r="A312" s="3">
        <v>308</v>
      </c>
      <c r="B312" s="3" t="s">
        <v>638</v>
      </c>
      <c r="C312" s="3" t="s">
        <v>986</v>
      </c>
      <c r="D312" s="3" t="s">
        <v>1453</v>
      </c>
      <c r="E312" s="3" t="s">
        <v>56</v>
      </c>
      <c r="F312" s="3" t="s">
        <v>317</v>
      </c>
      <c r="G312" s="3" t="s">
        <v>21</v>
      </c>
      <c r="H312" s="3" t="s">
        <v>22</v>
      </c>
      <c r="I312" s="3" t="s">
        <v>72</v>
      </c>
      <c r="J312" s="3" t="s">
        <v>73</v>
      </c>
      <c r="K312" s="3" t="s">
        <v>33</v>
      </c>
      <c r="L312" s="3" t="s">
        <v>95</v>
      </c>
      <c r="M312" s="3" t="s">
        <v>370</v>
      </c>
      <c r="N312" s="3">
        <v>6</v>
      </c>
      <c r="O312" s="3">
        <v>0</v>
      </c>
      <c r="P312" s="3">
        <v>2241.84</v>
      </c>
      <c r="Q312" s="3">
        <v>382.21</v>
      </c>
    </row>
    <row r="313" spans="1:17" x14ac:dyDescent="0.3">
      <c r="A313" s="3">
        <v>309</v>
      </c>
      <c r="B313" s="3" t="s">
        <v>639</v>
      </c>
      <c r="C313" s="3" t="s">
        <v>985</v>
      </c>
      <c r="D313" s="3" t="s">
        <v>1454</v>
      </c>
      <c r="E313" s="3" t="s">
        <v>19</v>
      </c>
      <c r="F313" s="3" t="s">
        <v>640</v>
      </c>
      <c r="G313" s="3" t="s">
        <v>21</v>
      </c>
      <c r="H313" s="3" t="s">
        <v>46</v>
      </c>
      <c r="I313" s="3" t="s">
        <v>257</v>
      </c>
      <c r="J313" s="3" t="s">
        <v>258</v>
      </c>
      <c r="K313" s="3" t="s">
        <v>25</v>
      </c>
      <c r="L313" s="3" t="s">
        <v>26</v>
      </c>
      <c r="M313" s="3" t="s">
        <v>259</v>
      </c>
      <c r="N313" s="3">
        <v>4</v>
      </c>
      <c r="O313" s="3">
        <v>0.15</v>
      </c>
      <c r="P313" s="3">
        <v>410.76</v>
      </c>
      <c r="Q313" s="3">
        <v>-57.64</v>
      </c>
    </row>
    <row r="314" spans="1:17" x14ac:dyDescent="0.3">
      <c r="A314" s="3">
        <v>310</v>
      </c>
      <c r="B314" s="3" t="s">
        <v>641</v>
      </c>
      <c r="C314" s="3" t="s">
        <v>1455</v>
      </c>
      <c r="D314" s="3" t="s">
        <v>1456</v>
      </c>
      <c r="E314" s="3" t="s">
        <v>62</v>
      </c>
      <c r="F314" s="3" t="s">
        <v>642</v>
      </c>
      <c r="G314" s="3" t="s">
        <v>39</v>
      </c>
      <c r="H314" s="3" t="s">
        <v>46</v>
      </c>
      <c r="I314" s="3" t="s">
        <v>78</v>
      </c>
      <c r="J314" s="3" t="s">
        <v>79</v>
      </c>
      <c r="K314" s="3" t="s">
        <v>25</v>
      </c>
      <c r="L314" s="3" t="s">
        <v>26</v>
      </c>
      <c r="M314" s="3" t="s">
        <v>155</v>
      </c>
      <c r="N314" s="3">
        <v>13</v>
      </c>
      <c r="O314" s="3">
        <v>0</v>
      </c>
      <c r="P314" s="3">
        <v>189.66</v>
      </c>
      <c r="Q314" s="3">
        <v>29.49</v>
      </c>
    </row>
    <row r="315" spans="1:17" x14ac:dyDescent="0.3">
      <c r="A315" s="3">
        <v>311</v>
      </c>
      <c r="B315" s="3" t="s">
        <v>643</v>
      </c>
      <c r="C315" s="3" t="s">
        <v>1457</v>
      </c>
      <c r="D315" s="3" t="s">
        <v>1458</v>
      </c>
      <c r="E315" s="3" t="s">
        <v>56</v>
      </c>
      <c r="F315" s="3" t="s">
        <v>113</v>
      </c>
      <c r="G315" s="3" t="s">
        <v>30</v>
      </c>
      <c r="H315" s="3" t="s">
        <v>90</v>
      </c>
      <c r="I315" s="3" t="s">
        <v>99</v>
      </c>
      <c r="J315" s="3" t="s">
        <v>100</v>
      </c>
      <c r="K315" s="3" t="s">
        <v>25</v>
      </c>
      <c r="L315" s="3" t="s">
        <v>74</v>
      </c>
      <c r="M315" s="3" t="s">
        <v>101</v>
      </c>
      <c r="N315" s="3">
        <v>3</v>
      </c>
      <c r="O315" s="3">
        <v>0.15</v>
      </c>
      <c r="P315" s="3">
        <v>338.52</v>
      </c>
      <c r="Q315" s="3">
        <v>-3.82</v>
      </c>
    </row>
    <row r="316" spans="1:17" x14ac:dyDescent="0.3">
      <c r="A316" s="3">
        <v>312</v>
      </c>
      <c r="B316" s="3" t="s">
        <v>644</v>
      </c>
      <c r="C316" s="3" t="s">
        <v>1398</v>
      </c>
      <c r="D316" s="3" t="s">
        <v>1302</v>
      </c>
      <c r="E316" s="3" t="s">
        <v>62</v>
      </c>
      <c r="F316" s="3" t="s">
        <v>645</v>
      </c>
      <c r="G316" s="3" t="s">
        <v>39</v>
      </c>
      <c r="H316" s="3" t="s">
        <v>22</v>
      </c>
      <c r="I316" s="3" t="s">
        <v>31</v>
      </c>
      <c r="J316" s="3" t="s">
        <v>32</v>
      </c>
      <c r="K316" s="3" t="s">
        <v>25</v>
      </c>
      <c r="L316" s="3" t="s">
        <v>53</v>
      </c>
      <c r="M316" s="3" t="s">
        <v>139</v>
      </c>
      <c r="N316" s="3">
        <v>12</v>
      </c>
      <c r="O316" s="3">
        <v>0.2</v>
      </c>
      <c r="P316" s="3">
        <v>712.31</v>
      </c>
      <c r="Q316" s="3">
        <v>116.48</v>
      </c>
    </row>
    <row r="317" spans="1:17" x14ac:dyDescent="0.3">
      <c r="A317" s="3">
        <v>313</v>
      </c>
      <c r="B317" s="3" t="s">
        <v>646</v>
      </c>
      <c r="C317" s="3" t="s">
        <v>1459</v>
      </c>
      <c r="D317" s="3" t="s">
        <v>1397</v>
      </c>
      <c r="E317" s="3" t="s">
        <v>37</v>
      </c>
      <c r="F317" s="3" t="s">
        <v>94</v>
      </c>
      <c r="G317" s="3" t="s">
        <v>30</v>
      </c>
      <c r="H317" s="3" t="s">
        <v>46</v>
      </c>
      <c r="I317" s="3" t="s">
        <v>281</v>
      </c>
      <c r="J317" s="3" t="s">
        <v>282</v>
      </c>
      <c r="K317" s="3" t="s">
        <v>25</v>
      </c>
      <c r="L317" s="3" t="s">
        <v>106</v>
      </c>
      <c r="M317" s="3" t="s">
        <v>123</v>
      </c>
      <c r="N317" s="3">
        <v>4</v>
      </c>
      <c r="O317" s="3">
        <v>0.2</v>
      </c>
      <c r="P317" s="3">
        <v>127.05</v>
      </c>
      <c r="Q317" s="3">
        <v>-3.87</v>
      </c>
    </row>
    <row r="318" spans="1:17" x14ac:dyDescent="0.3">
      <c r="A318" s="3">
        <v>314</v>
      </c>
      <c r="B318" s="3" t="s">
        <v>647</v>
      </c>
      <c r="C318" s="3" t="s">
        <v>1460</v>
      </c>
      <c r="D318" s="3" t="s">
        <v>1461</v>
      </c>
      <c r="E318" s="3" t="s">
        <v>19</v>
      </c>
      <c r="F318" s="3" t="s">
        <v>130</v>
      </c>
      <c r="G318" s="3" t="s">
        <v>30</v>
      </c>
      <c r="H318" s="3" t="s">
        <v>46</v>
      </c>
      <c r="I318" s="3" t="s">
        <v>146</v>
      </c>
      <c r="J318" s="3" t="s">
        <v>147</v>
      </c>
      <c r="K318" s="3" t="s">
        <v>25</v>
      </c>
      <c r="L318" s="3" t="s">
        <v>26</v>
      </c>
      <c r="M318" s="3" t="s">
        <v>155</v>
      </c>
      <c r="N318" s="3">
        <v>11</v>
      </c>
      <c r="O318" s="3">
        <v>0</v>
      </c>
      <c r="P318" s="3">
        <v>318.68</v>
      </c>
      <c r="Q318" s="3">
        <v>58.16</v>
      </c>
    </row>
    <row r="319" spans="1:17" x14ac:dyDescent="0.3">
      <c r="A319" s="3">
        <v>315</v>
      </c>
      <c r="B319" s="3" t="s">
        <v>648</v>
      </c>
      <c r="C319" s="3" t="s">
        <v>1462</v>
      </c>
      <c r="D319" s="3" t="s">
        <v>1082</v>
      </c>
      <c r="E319" s="3" t="s">
        <v>62</v>
      </c>
      <c r="F319" s="3" t="s">
        <v>403</v>
      </c>
      <c r="G319" s="3" t="s">
        <v>39</v>
      </c>
      <c r="H319" s="3" t="s">
        <v>40</v>
      </c>
      <c r="I319" s="3" t="s">
        <v>114</v>
      </c>
      <c r="J319" s="3" t="s">
        <v>115</v>
      </c>
      <c r="K319" s="3" t="s">
        <v>25</v>
      </c>
      <c r="L319" s="3" t="s">
        <v>116</v>
      </c>
      <c r="M319" s="3" t="s">
        <v>202</v>
      </c>
      <c r="N319" s="3">
        <v>3</v>
      </c>
      <c r="O319" s="3">
        <v>0.2</v>
      </c>
      <c r="P319" s="3">
        <v>336.92</v>
      </c>
      <c r="Q319" s="3">
        <v>74.53</v>
      </c>
    </row>
    <row r="320" spans="1:17" x14ac:dyDescent="0.3">
      <c r="A320" s="3">
        <v>316</v>
      </c>
      <c r="B320" s="3" t="s">
        <v>649</v>
      </c>
      <c r="C320" s="3" t="s">
        <v>1463</v>
      </c>
      <c r="D320" s="3" t="s">
        <v>1125</v>
      </c>
      <c r="E320" s="3" t="s">
        <v>37</v>
      </c>
      <c r="F320" s="3" t="s">
        <v>650</v>
      </c>
      <c r="G320" s="3" t="s">
        <v>39</v>
      </c>
      <c r="H320" s="3" t="s">
        <v>90</v>
      </c>
      <c r="I320" s="3" t="s">
        <v>169</v>
      </c>
      <c r="J320" s="3" t="s">
        <v>170</v>
      </c>
      <c r="K320" s="3" t="s">
        <v>25</v>
      </c>
      <c r="L320" s="3" t="s">
        <v>116</v>
      </c>
      <c r="M320" s="3" t="s">
        <v>202</v>
      </c>
      <c r="N320" s="3">
        <v>14</v>
      </c>
      <c r="O320" s="3">
        <v>0.4</v>
      </c>
      <c r="P320" s="3">
        <v>940.31</v>
      </c>
      <c r="Q320" s="3">
        <v>185.01</v>
      </c>
    </row>
    <row r="321" spans="1:17" x14ac:dyDescent="0.3">
      <c r="A321" s="3">
        <v>317</v>
      </c>
      <c r="B321" s="3" t="s">
        <v>651</v>
      </c>
      <c r="C321" s="3" t="s">
        <v>1464</v>
      </c>
      <c r="D321" s="3" t="s">
        <v>1465</v>
      </c>
      <c r="E321" s="3" t="s">
        <v>56</v>
      </c>
      <c r="F321" s="3" t="s">
        <v>470</v>
      </c>
      <c r="G321" s="3" t="s">
        <v>39</v>
      </c>
      <c r="H321" s="3" t="s">
        <v>46</v>
      </c>
      <c r="I321" s="3" t="s">
        <v>257</v>
      </c>
      <c r="J321" s="3" t="s">
        <v>258</v>
      </c>
      <c r="K321" s="3" t="s">
        <v>25</v>
      </c>
      <c r="L321" s="3" t="s">
        <v>106</v>
      </c>
      <c r="M321" s="3" t="s">
        <v>136</v>
      </c>
      <c r="N321" s="3">
        <v>10</v>
      </c>
      <c r="O321" s="3">
        <v>0</v>
      </c>
      <c r="P321" s="3">
        <v>699.56</v>
      </c>
      <c r="Q321" s="3">
        <v>236.19</v>
      </c>
    </row>
    <row r="322" spans="1:17" x14ac:dyDescent="0.3">
      <c r="A322" s="3">
        <v>318</v>
      </c>
      <c r="B322" s="3" t="s">
        <v>652</v>
      </c>
      <c r="C322" s="3" t="s">
        <v>1466</v>
      </c>
      <c r="D322" s="3" t="s">
        <v>1467</v>
      </c>
      <c r="E322" s="3" t="s">
        <v>37</v>
      </c>
      <c r="F322" s="3" t="s">
        <v>653</v>
      </c>
      <c r="G322" s="3" t="s">
        <v>21</v>
      </c>
      <c r="H322" s="3" t="s">
        <v>90</v>
      </c>
      <c r="I322" s="3" t="s">
        <v>169</v>
      </c>
      <c r="J322" s="3" t="s">
        <v>170</v>
      </c>
      <c r="K322" s="3" t="s">
        <v>25</v>
      </c>
      <c r="L322" s="3" t="s">
        <v>106</v>
      </c>
      <c r="M322" s="3" t="s">
        <v>107</v>
      </c>
      <c r="N322" s="3">
        <v>14</v>
      </c>
      <c r="O322" s="3">
        <v>0.2</v>
      </c>
      <c r="P322" s="3">
        <v>286.54000000000002</v>
      </c>
      <c r="Q322" s="3">
        <v>0.89</v>
      </c>
    </row>
    <row r="323" spans="1:17" x14ac:dyDescent="0.3">
      <c r="A323" s="3">
        <v>319</v>
      </c>
      <c r="B323" s="3" t="s">
        <v>654</v>
      </c>
      <c r="C323" s="3" t="s">
        <v>970</v>
      </c>
      <c r="D323" s="3" t="s">
        <v>1468</v>
      </c>
      <c r="E323" s="3" t="s">
        <v>56</v>
      </c>
      <c r="F323" s="3" t="s">
        <v>655</v>
      </c>
      <c r="G323" s="3" t="s">
        <v>30</v>
      </c>
      <c r="H323" s="3" t="s">
        <v>40</v>
      </c>
      <c r="I323" s="3" t="s">
        <v>41</v>
      </c>
      <c r="J323" s="3" t="s">
        <v>42</v>
      </c>
      <c r="K323" s="3" t="s">
        <v>25</v>
      </c>
      <c r="L323" s="3" t="s">
        <v>106</v>
      </c>
      <c r="M323" s="3" t="s">
        <v>136</v>
      </c>
      <c r="N323" s="3">
        <v>11</v>
      </c>
      <c r="O323" s="3">
        <v>0.4</v>
      </c>
      <c r="P323" s="3">
        <v>471.06</v>
      </c>
      <c r="Q323" s="3">
        <v>102.97</v>
      </c>
    </row>
    <row r="324" spans="1:17" x14ac:dyDescent="0.3">
      <c r="A324" s="3">
        <v>320</v>
      </c>
      <c r="B324" s="3" t="s">
        <v>656</v>
      </c>
      <c r="C324" s="3" t="s">
        <v>1469</v>
      </c>
      <c r="D324" s="3" t="s">
        <v>1470</v>
      </c>
      <c r="E324" s="3" t="s">
        <v>56</v>
      </c>
      <c r="F324" s="3" t="s">
        <v>408</v>
      </c>
      <c r="G324" s="3" t="s">
        <v>21</v>
      </c>
      <c r="H324" s="3" t="s">
        <v>40</v>
      </c>
      <c r="I324" s="3" t="s">
        <v>114</v>
      </c>
      <c r="J324" s="3" t="s">
        <v>115</v>
      </c>
      <c r="K324" s="3" t="s">
        <v>58</v>
      </c>
      <c r="L324" s="3" t="s">
        <v>86</v>
      </c>
      <c r="M324" s="3" t="s">
        <v>133</v>
      </c>
      <c r="N324" s="3">
        <v>5</v>
      </c>
      <c r="O324" s="3">
        <v>0</v>
      </c>
      <c r="P324" s="3">
        <v>2360.0300000000002</v>
      </c>
      <c r="Q324" s="3">
        <v>-291.83</v>
      </c>
    </row>
    <row r="325" spans="1:17" x14ac:dyDescent="0.3">
      <c r="A325" s="3">
        <v>321</v>
      </c>
      <c r="B325" s="3" t="s">
        <v>657</v>
      </c>
      <c r="C325" s="3" t="s">
        <v>1471</v>
      </c>
      <c r="D325" s="3" t="s">
        <v>1472</v>
      </c>
      <c r="E325" s="3" t="s">
        <v>19</v>
      </c>
      <c r="F325" s="3" t="s">
        <v>345</v>
      </c>
      <c r="G325" s="3" t="s">
        <v>39</v>
      </c>
      <c r="H325" s="3" t="s">
        <v>22</v>
      </c>
      <c r="I325" s="3" t="s">
        <v>23</v>
      </c>
      <c r="J325" s="3" t="s">
        <v>24</v>
      </c>
      <c r="K325" s="3" t="s">
        <v>58</v>
      </c>
      <c r="L325" s="3" t="s">
        <v>59</v>
      </c>
      <c r="M325" s="3" t="s">
        <v>60</v>
      </c>
      <c r="N325" s="3">
        <v>3</v>
      </c>
      <c r="O325" s="3">
        <v>0.3</v>
      </c>
      <c r="P325" s="3">
        <v>190.08</v>
      </c>
      <c r="Q325" s="3">
        <v>-12.24</v>
      </c>
    </row>
    <row r="326" spans="1:17" x14ac:dyDescent="0.3">
      <c r="A326" s="3">
        <v>322</v>
      </c>
      <c r="B326" s="3" t="s">
        <v>658</v>
      </c>
      <c r="C326" s="3" t="s">
        <v>1473</v>
      </c>
      <c r="D326" s="3" t="s">
        <v>1474</v>
      </c>
      <c r="E326" s="3" t="s">
        <v>19</v>
      </c>
      <c r="F326" s="3" t="s">
        <v>157</v>
      </c>
      <c r="G326" s="3" t="s">
        <v>21</v>
      </c>
      <c r="H326" s="3" t="s">
        <v>40</v>
      </c>
      <c r="I326" s="3" t="s">
        <v>223</v>
      </c>
      <c r="J326" s="3" t="s">
        <v>224</v>
      </c>
      <c r="K326" s="3" t="s">
        <v>58</v>
      </c>
      <c r="L326" s="3" t="s">
        <v>59</v>
      </c>
      <c r="M326" s="3" t="s">
        <v>60</v>
      </c>
      <c r="N326" s="3">
        <v>14</v>
      </c>
      <c r="O326" s="3">
        <v>0.4</v>
      </c>
      <c r="P326" s="3">
        <v>5669.39</v>
      </c>
      <c r="Q326" s="3">
        <v>171.87</v>
      </c>
    </row>
    <row r="327" spans="1:17" x14ac:dyDescent="0.3">
      <c r="A327" s="3">
        <v>323</v>
      </c>
      <c r="B327" s="3" t="s">
        <v>659</v>
      </c>
      <c r="C327" s="3" t="s">
        <v>1475</v>
      </c>
      <c r="D327" s="3" t="s">
        <v>1356</v>
      </c>
      <c r="E327" s="3" t="s">
        <v>37</v>
      </c>
      <c r="F327" s="3" t="s">
        <v>132</v>
      </c>
      <c r="G327" s="3" t="s">
        <v>30</v>
      </c>
      <c r="H327" s="3" t="s">
        <v>90</v>
      </c>
      <c r="I327" s="3" t="s">
        <v>91</v>
      </c>
      <c r="J327" s="3" t="s">
        <v>92</v>
      </c>
      <c r="K327" s="3" t="s">
        <v>25</v>
      </c>
      <c r="L327" s="3" t="s">
        <v>53</v>
      </c>
      <c r="M327" s="3" t="s">
        <v>171</v>
      </c>
      <c r="N327" s="3">
        <v>6</v>
      </c>
      <c r="O327" s="3">
        <v>0.1</v>
      </c>
      <c r="P327" s="3">
        <v>342.42</v>
      </c>
      <c r="Q327" s="3">
        <v>79.72</v>
      </c>
    </row>
    <row r="328" spans="1:17" x14ac:dyDescent="0.3">
      <c r="A328" s="3">
        <v>324</v>
      </c>
      <c r="B328" s="3" t="s">
        <v>660</v>
      </c>
      <c r="C328" s="3" t="s">
        <v>1219</v>
      </c>
      <c r="D328" s="3" t="s">
        <v>1476</v>
      </c>
      <c r="E328" s="3" t="s">
        <v>37</v>
      </c>
      <c r="F328" s="3" t="s">
        <v>661</v>
      </c>
      <c r="G328" s="3" t="s">
        <v>30</v>
      </c>
      <c r="H328" s="3" t="s">
        <v>40</v>
      </c>
      <c r="I328" s="3" t="s">
        <v>41</v>
      </c>
      <c r="J328" s="3" t="s">
        <v>42</v>
      </c>
      <c r="K328" s="3" t="s">
        <v>33</v>
      </c>
      <c r="L328" s="3" t="s">
        <v>95</v>
      </c>
      <c r="M328" s="3" t="s">
        <v>96</v>
      </c>
      <c r="N328" s="3">
        <v>9</v>
      </c>
      <c r="O328" s="3">
        <v>0.4</v>
      </c>
      <c r="P328" s="3">
        <v>242.46</v>
      </c>
      <c r="Q328" s="3">
        <v>77.14</v>
      </c>
    </row>
    <row r="329" spans="1:17" x14ac:dyDescent="0.3">
      <c r="A329" s="3">
        <v>325</v>
      </c>
      <c r="B329" s="3" t="s">
        <v>662</v>
      </c>
      <c r="C329" s="3" t="s">
        <v>1113</v>
      </c>
      <c r="D329" s="3" t="s">
        <v>1477</v>
      </c>
      <c r="E329" s="3" t="s">
        <v>19</v>
      </c>
      <c r="F329" s="3" t="s">
        <v>663</v>
      </c>
      <c r="G329" s="3" t="s">
        <v>30</v>
      </c>
      <c r="H329" s="3" t="s">
        <v>40</v>
      </c>
      <c r="I329" s="3" t="s">
        <v>158</v>
      </c>
      <c r="J329" s="3" t="s">
        <v>159</v>
      </c>
      <c r="K329" s="3" t="s">
        <v>25</v>
      </c>
      <c r="L329" s="3" t="s">
        <v>26</v>
      </c>
      <c r="M329" s="3" t="s">
        <v>259</v>
      </c>
      <c r="N329" s="3">
        <v>7</v>
      </c>
      <c r="O329" s="3">
        <v>0.3</v>
      </c>
      <c r="P329" s="3">
        <v>200.58</v>
      </c>
      <c r="Q329" s="3">
        <v>49.55</v>
      </c>
    </row>
    <row r="330" spans="1:17" x14ac:dyDescent="0.3">
      <c r="A330" s="3">
        <v>326</v>
      </c>
      <c r="B330" s="3" t="s">
        <v>664</v>
      </c>
      <c r="C330" s="3" t="s">
        <v>1478</v>
      </c>
      <c r="D330" s="3" t="s">
        <v>1479</v>
      </c>
      <c r="E330" s="3" t="s">
        <v>56</v>
      </c>
      <c r="F330" s="3" t="s">
        <v>330</v>
      </c>
      <c r="G330" s="3" t="s">
        <v>30</v>
      </c>
      <c r="H330" s="3" t="s">
        <v>46</v>
      </c>
      <c r="I330" s="3" t="s">
        <v>281</v>
      </c>
      <c r="J330" s="3" t="s">
        <v>282</v>
      </c>
      <c r="K330" s="3" t="s">
        <v>25</v>
      </c>
      <c r="L330" s="3" t="s">
        <v>80</v>
      </c>
      <c r="M330" s="3" t="s">
        <v>150</v>
      </c>
      <c r="N330" s="3">
        <v>14</v>
      </c>
      <c r="O330" s="3">
        <v>0</v>
      </c>
      <c r="P330" s="3">
        <v>141.1</v>
      </c>
      <c r="Q330" s="3">
        <v>-10.76</v>
      </c>
    </row>
    <row r="331" spans="1:17" x14ac:dyDescent="0.3">
      <c r="A331" s="3">
        <v>327</v>
      </c>
      <c r="B331" s="3" t="s">
        <v>665</v>
      </c>
      <c r="C331" s="3" t="s">
        <v>1232</v>
      </c>
      <c r="D331" s="3" t="s">
        <v>1182</v>
      </c>
      <c r="E331" s="3" t="s">
        <v>56</v>
      </c>
      <c r="F331" s="3" t="s">
        <v>666</v>
      </c>
      <c r="G331" s="3" t="s">
        <v>21</v>
      </c>
      <c r="H331" s="3" t="s">
        <v>40</v>
      </c>
      <c r="I331" s="3" t="s">
        <v>41</v>
      </c>
      <c r="J331" s="3" t="s">
        <v>42</v>
      </c>
      <c r="K331" s="3" t="s">
        <v>33</v>
      </c>
      <c r="L331" s="3" t="s">
        <v>49</v>
      </c>
      <c r="M331" s="3" t="s">
        <v>50</v>
      </c>
      <c r="N331" s="3">
        <v>5</v>
      </c>
      <c r="O331" s="3">
        <v>0.4</v>
      </c>
      <c r="P331" s="3">
        <v>909.51</v>
      </c>
      <c r="Q331" s="3">
        <v>169.41</v>
      </c>
    </row>
    <row r="332" spans="1:17" x14ac:dyDescent="0.3">
      <c r="A332" s="3">
        <v>328</v>
      </c>
      <c r="B332" s="3" t="s">
        <v>667</v>
      </c>
      <c r="C332" s="3" t="s">
        <v>1369</v>
      </c>
      <c r="D332" s="3" t="s">
        <v>1064</v>
      </c>
      <c r="E332" s="3" t="s">
        <v>62</v>
      </c>
      <c r="F332" s="3" t="s">
        <v>668</v>
      </c>
      <c r="G332" s="3" t="s">
        <v>30</v>
      </c>
      <c r="H332" s="3" t="s">
        <v>40</v>
      </c>
      <c r="I332" s="3" t="s">
        <v>41</v>
      </c>
      <c r="J332" s="3" t="s">
        <v>42</v>
      </c>
      <c r="K332" s="3" t="s">
        <v>25</v>
      </c>
      <c r="L332" s="3" t="s">
        <v>74</v>
      </c>
      <c r="M332" s="3" t="s">
        <v>180</v>
      </c>
      <c r="N332" s="3">
        <v>13</v>
      </c>
      <c r="O332" s="3">
        <v>0</v>
      </c>
      <c r="P332" s="3">
        <v>74.680000000000007</v>
      </c>
      <c r="Q332" s="3">
        <v>19.13</v>
      </c>
    </row>
    <row r="333" spans="1:17" x14ac:dyDescent="0.3">
      <c r="A333" s="3">
        <v>329</v>
      </c>
      <c r="B333" s="3" t="s">
        <v>669</v>
      </c>
      <c r="C333" s="3" t="s">
        <v>1320</v>
      </c>
      <c r="D333" s="3" t="s">
        <v>1480</v>
      </c>
      <c r="E333" s="3" t="s">
        <v>56</v>
      </c>
      <c r="F333" s="3" t="s">
        <v>77</v>
      </c>
      <c r="G333" s="3" t="s">
        <v>21</v>
      </c>
      <c r="H333" s="3" t="s">
        <v>90</v>
      </c>
      <c r="I333" s="3" t="s">
        <v>104</v>
      </c>
      <c r="J333" s="3" t="s">
        <v>105</v>
      </c>
      <c r="K333" s="3" t="s">
        <v>33</v>
      </c>
      <c r="L333" s="3" t="s">
        <v>64</v>
      </c>
      <c r="M333" s="3" t="s">
        <v>269</v>
      </c>
      <c r="N333" s="3">
        <v>13</v>
      </c>
      <c r="O333" s="3">
        <v>0.3</v>
      </c>
      <c r="P333" s="3">
        <v>6002.67</v>
      </c>
      <c r="Q333" s="3">
        <v>1276.98</v>
      </c>
    </row>
    <row r="334" spans="1:17" x14ac:dyDescent="0.3">
      <c r="A334" s="3">
        <v>330</v>
      </c>
      <c r="B334" s="3" t="s">
        <v>670</v>
      </c>
      <c r="C334" s="3" t="s">
        <v>1481</v>
      </c>
      <c r="D334" s="3" t="s">
        <v>1482</v>
      </c>
      <c r="E334" s="3" t="s">
        <v>37</v>
      </c>
      <c r="F334" s="3" t="s">
        <v>445</v>
      </c>
      <c r="G334" s="3" t="s">
        <v>21</v>
      </c>
      <c r="H334" s="3" t="s">
        <v>22</v>
      </c>
      <c r="I334" s="3" t="s">
        <v>31</v>
      </c>
      <c r="J334" s="3" t="s">
        <v>32</v>
      </c>
      <c r="K334" s="3" t="s">
        <v>25</v>
      </c>
      <c r="L334" s="3" t="s">
        <v>26</v>
      </c>
      <c r="M334" s="3" t="s">
        <v>259</v>
      </c>
      <c r="N334" s="3">
        <v>5</v>
      </c>
      <c r="O334" s="3">
        <v>0</v>
      </c>
      <c r="P334" s="3">
        <v>562.37</v>
      </c>
      <c r="Q334" s="3">
        <v>71.7</v>
      </c>
    </row>
    <row r="335" spans="1:17" x14ac:dyDescent="0.3">
      <c r="A335" s="3">
        <v>331</v>
      </c>
      <c r="B335" s="3" t="s">
        <v>671</v>
      </c>
      <c r="C335" s="3" t="s">
        <v>1483</v>
      </c>
      <c r="D335" s="3" t="s">
        <v>1143</v>
      </c>
      <c r="E335" s="3" t="s">
        <v>19</v>
      </c>
      <c r="F335" s="3" t="s">
        <v>501</v>
      </c>
      <c r="G335" s="3" t="s">
        <v>30</v>
      </c>
      <c r="H335" s="3" t="s">
        <v>90</v>
      </c>
      <c r="I335" s="3" t="s">
        <v>99</v>
      </c>
      <c r="J335" s="3" t="s">
        <v>100</v>
      </c>
      <c r="K335" s="3" t="s">
        <v>33</v>
      </c>
      <c r="L335" s="3" t="s">
        <v>49</v>
      </c>
      <c r="M335" s="3" t="s">
        <v>208</v>
      </c>
      <c r="N335" s="3">
        <v>11</v>
      </c>
      <c r="O335" s="3">
        <v>0</v>
      </c>
      <c r="P335" s="3">
        <v>3498.65</v>
      </c>
      <c r="Q335" s="3">
        <v>-523.34</v>
      </c>
    </row>
    <row r="336" spans="1:17" x14ac:dyDescent="0.3">
      <c r="A336" s="3">
        <v>332</v>
      </c>
      <c r="B336" s="3" t="s">
        <v>672</v>
      </c>
      <c r="C336" s="3" t="s">
        <v>998</v>
      </c>
      <c r="D336" s="3" t="s">
        <v>1191</v>
      </c>
      <c r="E336" s="3" t="s">
        <v>62</v>
      </c>
      <c r="F336" s="3" t="s">
        <v>569</v>
      </c>
      <c r="G336" s="3" t="s">
        <v>30</v>
      </c>
      <c r="H336" s="3" t="s">
        <v>22</v>
      </c>
      <c r="I336" s="3" t="s">
        <v>23</v>
      </c>
      <c r="J336" s="3" t="s">
        <v>24</v>
      </c>
      <c r="K336" s="3" t="s">
        <v>25</v>
      </c>
      <c r="L336" s="3" t="s">
        <v>53</v>
      </c>
      <c r="M336" s="3" t="s">
        <v>54</v>
      </c>
      <c r="N336" s="3">
        <v>3</v>
      </c>
      <c r="O336" s="3">
        <v>0</v>
      </c>
      <c r="P336" s="3">
        <v>137.47999999999999</v>
      </c>
      <c r="Q336" s="3">
        <v>-13.85</v>
      </c>
    </row>
    <row r="337" spans="1:17" x14ac:dyDescent="0.3">
      <c r="A337" s="3">
        <v>333</v>
      </c>
      <c r="B337" s="3" t="s">
        <v>673</v>
      </c>
      <c r="C337" s="3" t="s">
        <v>1484</v>
      </c>
      <c r="D337" s="3" t="s">
        <v>1485</v>
      </c>
      <c r="E337" s="3" t="s">
        <v>56</v>
      </c>
      <c r="F337" s="3" t="s">
        <v>175</v>
      </c>
      <c r="G337" s="3" t="s">
        <v>39</v>
      </c>
      <c r="H337" s="3" t="s">
        <v>22</v>
      </c>
      <c r="I337" s="3" t="s">
        <v>72</v>
      </c>
      <c r="J337" s="3" t="s">
        <v>73</v>
      </c>
      <c r="K337" s="3" t="s">
        <v>25</v>
      </c>
      <c r="L337" s="3" t="s">
        <v>53</v>
      </c>
      <c r="M337" s="3" t="s">
        <v>171</v>
      </c>
      <c r="N337" s="3">
        <v>8</v>
      </c>
      <c r="O337" s="3">
        <v>0.2</v>
      </c>
      <c r="P337" s="3">
        <v>221.51</v>
      </c>
      <c r="Q337" s="3">
        <v>51.68</v>
      </c>
    </row>
    <row r="338" spans="1:17" x14ac:dyDescent="0.3">
      <c r="A338" s="3">
        <v>334</v>
      </c>
      <c r="B338" s="3" t="s">
        <v>674</v>
      </c>
      <c r="C338" s="3" t="s">
        <v>1178</v>
      </c>
      <c r="D338" s="3" t="s">
        <v>1486</v>
      </c>
      <c r="E338" s="3" t="s">
        <v>56</v>
      </c>
      <c r="F338" s="3" t="s">
        <v>675</v>
      </c>
      <c r="G338" s="3" t="s">
        <v>30</v>
      </c>
      <c r="H338" s="3" t="s">
        <v>46</v>
      </c>
      <c r="I338" s="3" t="s">
        <v>78</v>
      </c>
      <c r="J338" s="3" t="s">
        <v>79</v>
      </c>
      <c r="K338" s="3" t="s">
        <v>25</v>
      </c>
      <c r="L338" s="3" t="s">
        <v>116</v>
      </c>
      <c r="M338" s="3" t="s">
        <v>166</v>
      </c>
      <c r="N338" s="3">
        <v>9</v>
      </c>
      <c r="O338" s="3">
        <v>0.4</v>
      </c>
      <c r="P338" s="3">
        <v>291.27</v>
      </c>
      <c r="Q338" s="3">
        <v>-39.65</v>
      </c>
    </row>
    <row r="339" spans="1:17" x14ac:dyDescent="0.3">
      <c r="A339" s="3">
        <v>335</v>
      </c>
      <c r="B339" s="3" t="s">
        <v>676</v>
      </c>
      <c r="C339" s="3" t="s">
        <v>999</v>
      </c>
      <c r="D339" s="3" t="s">
        <v>1487</v>
      </c>
      <c r="E339" s="3" t="s">
        <v>19</v>
      </c>
      <c r="F339" s="3" t="s">
        <v>677</v>
      </c>
      <c r="G339" s="3" t="s">
        <v>30</v>
      </c>
      <c r="H339" s="3" t="s">
        <v>46</v>
      </c>
      <c r="I339" s="3" t="s">
        <v>47</v>
      </c>
      <c r="J339" s="3" t="s">
        <v>48</v>
      </c>
      <c r="K339" s="3" t="s">
        <v>58</v>
      </c>
      <c r="L339" s="3" t="s">
        <v>86</v>
      </c>
      <c r="M339" s="3" t="s">
        <v>87</v>
      </c>
      <c r="N339" s="3">
        <v>8</v>
      </c>
      <c r="O339" s="3">
        <v>0.15</v>
      </c>
      <c r="P339" s="3">
        <v>1290.9000000000001</v>
      </c>
      <c r="Q339" s="3">
        <v>96.77</v>
      </c>
    </row>
    <row r="340" spans="1:17" x14ac:dyDescent="0.3">
      <c r="A340" s="3">
        <v>336</v>
      </c>
      <c r="B340" s="3" t="s">
        <v>678</v>
      </c>
      <c r="C340" s="3" t="s">
        <v>1127</v>
      </c>
      <c r="D340" s="3" t="s">
        <v>1488</v>
      </c>
      <c r="E340" s="3" t="s">
        <v>37</v>
      </c>
      <c r="F340" s="3" t="s">
        <v>679</v>
      </c>
      <c r="G340" s="3" t="s">
        <v>39</v>
      </c>
      <c r="H340" s="3" t="s">
        <v>22</v>
      </c>
      <c r="I340" s="3" t="s">
        <v>31</v>
      </c>
      <c r="J340" s="3" t="s">
        <v>32</v>
      </c>
      <c r="K340" s="3" t="s">
        <v>58</v>
      </c>
      <c r="L340" s="3" t="s">
        <v>86</v>
      </c>
      <c r="M340" s="3" t="s">
        <v>211</v>
      </c>
      <c r="N340" s="3">
        <v>9</v>
      </c>
      <c r="O340" s="3">
        <v>0.1</v>
      </c>
      <c r="P340" s="3">
        <v>3622.54</v>
      </c>
      <c r="Q340" s="3">
        <v>233.44</v>
      </c>
    </row>
    <row r="341" spans="1:17" x14ac:dyDescent="0.3">
      <c r="A341" s="3">
        <v>337</v>
      </c>
      <c r="B341" s="3" t="s">
        <v>680</v>
      </c>
      <c r="C341" s="3" t="s">
        <v>1002</v>
      </c>
      <c r="D341" s="3" t="s">
        <v>1331</v>
      </c>
      <c r="E341" s="3" t="s">
        <v>19</v>
      </c>
      <c r="F341" s="3" t="s">
        <v>681</v>
      </c>
      <c r="G341" s="3" t="s">
        <v>30</v>
      </c>
      <c r="H341" s="3" t="s">
        <v>46</v>
      </c>
      <c r="I341" s="3" t="s">
        <v>146</v>
      </c>
      <c r="J341" s="3" t="s">
        <v>147</v>
      </c>
      <c r="K341" s="3" t="s">
        <v>25</v>
      </c>
      <c r="L341" s="3" t="s">
        <v>116</v>
      </c>
      <c r="M341" s="3" t="s">
        <v>202</v>
      </c>
      <c r="N341" s="3">
        <v>2</v>
      </c>
      <c r="O341" s="3">
        <v>0</v>
      </c>
      <c r="P341" s="3">
        <v>14.33</v>
      </c>
      <c r="Q341" s="3">
        <v>-2.0499999999999998</v>
      </c>
    </row>
    <row r="342" spans="1:17" x14ac:dyDescent="0.3">
      <c r="A342" s="3">
        <v>338</v>
      </c>
      <c r="B342" s="3" t="s">
        <v>682</v>
      </c>
      <c r="C342" s="3" t="s">
        <v>1489</v>
      </c>
      <c r="D342" s="3" t="s">
        <v>1310</v>
      </c>
      <c r="E342" s="3" t="s">
        <v>19</v>
      </c>
      <c r="F342" s="3" t="s">
        <v>525</v>
      </c>
      <c r="G342" s="3" t="s">
        <v>21</v>
      </c>
      <c r="H342" s="3" t="s">
        <v>22</v>
      </c>
      <c r="I342" s="3" t="s">
        <v>23</v>
      </c>
      <c r="J342" s="3" t="s">
        <v>24</v>
      </c>
      <c r="K342" s="3" t="s">
        <v>25</v>
      </c>
      <c r="L342" s="3" t="s">
        <v>74</v>
      </c>
      <c r="M342" s="3" t="s">
        <v>101</v>
      </c>
      <c r="N342" s="3">
        <v>10</v>
      </c>
      <c r="O342" s="3">
        <v>0.15</v>
      </c>
      <c r="P342" s="3">
        <v>809.41</v>
      </c>
      <c r="Q342" s="3">
        <v>-178.51</v>
      </c>
    </row>
    <row r="343" spans="1:17" x14ac:dyDescent="0.3">
      <c r="A343" s="3">
        <v>339</v>
      </c>
      <c r="B343" s="3" t="s">
        <v>683</v>
      </c>
      <c r="C343" s="3" t="s">
        <v>1328</v>
      </c>
      <c r="D343" s="3" t="s">
        <v>1490</v>
      </c>
      <c r="E343" s="3" t="s">
        <v>62</v>
      </c>
      <c r="F343" s="3" t="s">
        <v>519</v>
      </c>
      <c r="G343" s="3" t="s">
        <v>39</v>
      </c>
      <c r="H343" s="3" t="s">
        <v>90</v>
      </c>
      <c r="I343" s="3" t="s">
        <v>169</v>
      </c>
      <c r="J343" s="3" t="s">
        <v>170</v>
      </c>
      <c r="K343" s="3" t="s">
        <v>25</v>
      </c>
      <c r="L343" s="3" t="s">
        <v>53</v>
      </c>
      <c r="M343" s="3" t="s">
        <v>139</v>
      </c>
      <c r="N343" s="3">
        <v>12</v>
      </c>
      <c r="O343" s="3">
        <v>0.3</v>
      </c>
      <c r="P343" s="3">
        <v>1230.82</v>
      </c>
      <c r="Q343" s="3">
        <v>299.36</v>
      </c>
    </row>
    <row r="344" spans="1:17" x14ac:dyDescent="0.3">
      <c r="A344" s="3">
        <v>340</v>
      </c>
      <c r="B344" s="3" t="s">
        <v>684</v>
      </c>
      <c r="C344" s="3" t="s">
        <v>1491</v>
      </c>
      <c r="D344" s="3" t="s">
        <v>1492</v>
      </c>
      <c r="E344" s="3" t="s">
        <v>56</v>
      </c>
      <c r="F344" s="3" t="s">
        <v>685</v>
      </c>
      <c r="G344" s="3" t="s">
        <v>39</v>
      </c>
      <c r="H344" s="3" t="s">
        <v>22</v>
      </c>
      <c r="I344" s="3" t="s">
        <v>72</v>
      </c>
      <c r="J344" s="3" t="s">
        <v>73</v>
      </c>
      <c r="K344" s="3" t="s">
        <v>33</v>
      </c>
      <c r="L344" s="3" t="s">
        <v>95</v>
      </c>
      <c r="M344" s="3" t="s">
        <v>262</v>
      </c>
      <c r="N344" s="3">
        <v>4</v>
      </c>
      <c r="O344" s="3">
        <v>0.1</v>
      </c>
      <c r="P344" s="3">
        <v>1489.42</v>
      </c>
      <c r="Q344" s="3">
        <v>-199.77</v>
      </c>
    </row>
    <row r="345" spans="1:17" x14ac:dyDescent="0.3">
      <c r="A345" s="3">
        <v>341</v>
      </c>
      <c r="B345" s="3" t="s">
        <v>686</v>
      </c>
      <c r="C345" s="3" t="s">
        <v>1493</v>
      </c>
      <c r="D345" s="3" t="s">
        <v>1494</v>
      </c>
      <c r="E345" s="3" t="s">
        <v>56</v>
      </c>
      <c r="F345" s="3" t="s">
        <v>687</v>
      </c>
      <c r="G345" s="3" t="s">
        <v>39</v>
      </c>
      <c r="H345" s="3" t="s">
        <v>22</v>
      </c>
      <c r="I345" s="3" t="s">
        <v>31</v>
      </c>
      <c r="J345" s="3" t="s">
        <v>32</v>
      </c>
      <c r="K345" s="3" t="s">
        <v>25</v>
      </c>
      <c r="L345" s="3" t="s">
        <v>74</v>
      </c>
      <c r="M345" s="3" t="s">
        <v>101</v>
      </c>
      <c r="N345" s="3">
        <v>2</v>
      </c>
      <c r="O345" s="3">
        <v>0</v>
      </c>
      <c r="P345" s="3">
        <v>43.37</v>
      </c>
      <c r="Q345" s="3">
        <v>3.47</v>
      </c>
    </row>
    <row r="346" spans="1:17" x14ac:dyDescent="0.3">
      <c r="A346" s="3">
        <v>342</v>
      </c>
      <c r="B346" s="3" t="s">
        <v>688</v>
      </c>
      <c r="C346" s="3" t="s">
        <v>1495</v>
      </c>
      <c r="D346" s="3" t="s">
        <v>1496</v>
      </c>
      <c r="E346" s="3" t="s">
        <v>37</v>
      </c>
      <c r="F346" s="3" t="s">
        <v>145</v>
      </c>
      <c r="G346" s="3" t="s">
        <v>39</v>
      </c>
      <c r="H346" s="3" t="s">
        <v>46</v>
      </c>
      <c r="I346" s="3" t="s">
        <v>281</v>
      </c>
      <c r="J346" s="3" t="s">
        <v>282</v>
      </c>
      <c r="K346" s="3" t="s">
        <v>25</v>
      </c>
      <c r="L346" s="3" t="s">
        <v>106</v>
      </c>
      <c r="M346" s="3" t="s">
        <v>107</v>
      </c>
      <c r="N346" s="3">
        <v>11</v>
      </c>
      <c r="O346" s="3">
        <v>0.2</v>
      </c>
      <c r="P346" s="3">
        <v>546.04999999999995</v>
      </c>
      <c r="Q346" s="3">
        <v>62.82</v>
      </c>
    </row>
    <row r="347" spans="1:17" x14ac:dyDescent="0.3">
      <c r="A347" s="3">
        <v>343</v>
      </c>
      <c r="B347" s="3" t="s">
        <v>689</v>
      </c>
      <c r="C347" s="3" t="s">
        <v>1497</v>
      </c>
      <c r="D347" s="3" t="s">
        <v>977</v>
      </c>
      <c r="E347" s="3" t="s">
        <v>19</v>
      </c>
      <c r="F347" s="3" t="s">
        <v>690</v>
      </c>
      <c r="G347" s="3" t="s">
        <v>21</v>
      </c>
      <c r="H347" s="3" t="s">
        <v>46</v>
      </c>
      <c r="I347" s="3" t="s">
        <v>146</v>
      </c>
      <c r="J347" s="3" t="s">
        <v>147</v>
      </c>
      <c r="K347" s="3" t="s">
        <v>25</v>
      </c>
      <c r="L347" s="3" t="s">
        <v>74</v>
      </c>
      <c r="M347" s="3" t="s">
        <v>75</v>
      </c>
      <c r="N347" s="3">
        <v>10</v>
      </c>
      <c r="O347" s="3">
        <v>0</v>
      </c>
      <c r="P347" s="3">
        <v>39.24</v>
      </c>
      <c r="Q347" s="3">
        <v>13.58</v>
      </c>
    </row>
    <row r="348" spans="1:17" x14ac:dyDescent="0.3">
      <c r="A348" s="3">
        <v>344</v>
      </c>
      <c r="B348" s="3" t="s">
        <v>691</v>
      </c>
      <c r="C348" s="3" t="s">
        <v>1269</v>
      </c>
      <c r="D348" s="3" t="s">
        <v>1317</v>
      </c>
      <c r="E348" s="3" t="s">
        <v>37</v>
      </c>
      <c r="F348" s="3" t="s">
        <v>692</v>
      </c>
      <c r="G348" s="3" t="s">
        <v>21</v>
      </c>
      <c r="H348" s="3" t="s">
        <v>46</v>
      </c>
      <c r="I348" s="3" t="s">
        <v>257</v>
      </c>
      <c r="J348" s="3" t="s">
        <v>258</v>
      </c>
      <c r="K348" s="3" t="s">
        <v>58</v>
      </c>
      <c r="L348" s="3" t="s">
        <v>199</v>
      </c>
      <c r="M348" s="3" t="s">
        <v>205</v>
      </c>
      <c r="N348" s="3">
        <v>10</v>
      </c>
      <c r="O348" s="3">
        <v>0</v>
      </c>
      <c r="P348" s="3">
        <v>4651.84</v>
      </c>
      <c r="Q348" s="3">
        <v>-899.79</v>
      </c>
    </row>
    <row r="349" spans="1:17" x14ac:dyDescent="0.3">
      <c r="A349" s="3">
        <v>345</v>
      </c>
      <c r="B349" s="3" t="s">
        <v>693</v>
      </c>
      <c r="C349" s="3" t="s">
        <v>1498</v>
      </c>
      <c r="D349" s="3" t="s">
        <v>1088</v>
      </c>
      <c r="E349" s="3" t="s">
        <v>62</v>
      </c>
      <c r="F349" s="3" t="s">
        <v>694</v>
      </c>
      <c r="G349" s="3" t="s">
        <v>30</v>
      </c>
      <c r="H349" s="3" t="s">
        <v>46</v>
      </c>
      <c r="I349" s="3" t="s">
        <v>47</v>
      </c>
      <c r="J349" s="3" t="s">
        <v>48</v>
      </c>
      <c r="K349" s="3" t="s">
        <v>25</v>
      </c>
      <c r="L349" s="3" t="s">
        <v>106</v>
      </c>
      <c r="M349" s="3" t="s">
        <v>107</v>
      </c>
      <c r="N349" s="3">
        <v>7</v>
      </c>
      <c r="O349" s="3">
        <v>0.1</v>
      </c>
      <c r="P349" s="3">
        <v>469.53</v>
      </c>
      <c r="Q349" s="3">
        <v>89.47</v>
      </c>
    </row>
    <row r="350" spans="1:17" x14ac:dyDescent="0.3">
      <c r="A350" s="3">
        <v>346</v>
      </c>
      <c r="B350" s="3" t="s">
        <v>695</v>
      </c>
      <c r="C350" s="3" t="s">
        <v>1242</v>
      </c>
      <c r="D350" s="3" t="s">
        <v>1499</v>
      </c>
      <c r="E350" s="3" t="s">
        <v>62</v>
      </c>
      <c r="F350" s="3" t="s">
        <v>253</v>
      </c>
      <c r="G350" s="3" t="s">
        <v>21</v>
      </c>
      <c r="H350" s="3" t="s">
        <v>46</v>
      </c>
      <c r="I350" s="3" t="s">
        <v>257</v>
      </c>
      <c r="J350" s="3" t="s">
        <v>258</v>
      </c>
      <c r="K350" s="3" t="s">
        <v>25</v>
      </c>
      <c r="L350" s="3" t="s">
        <v>80</v>
      </c>
      <c r="M350" s="3" t="s">
        <v>150</v>
      </c>
      <c r="N350" s="3">
        <v>1</v>
      </c>
      <c r="O350" s="3">
        <v>0.2</v>
      </c>
      <c r="P350" s="3">
        <v>104.13</v>
      </c>
      <c r="Q350" s="3">
        <v>-4.29</v>
      </c>
    </row>
    <row r="351" spans="1:17" x14ac:dyDescent="0.3">
      <c r="A351" s="3">
        <v>347</v>
      </c>
      <c r="B351" s="3" t="s">
        <v>696</v>
      </c>
      <c r="C351" s="3" t="s">
        <v>1500</v>
      </c>
      <c r="D351" s="3" t="s">
        <v>965</v>
      </c>
      <c r="E351" s="3" t="s">
        <v>62</v>
      </c>
      <c r="F351" s="3" t="s">
        <v>620</v>
      </c>
      <c r="G351" s="3" t="s">
        <v>39</v>
      </c>
      <c r="H351" s="3" t="s">
        <v>90</v>
      </c>
      <c r="I351" s="3" t="s">
        <v>169</v>
      </c>
      <c r="J351" s="3" t="s">
        <v>170</v>
      </c>
      <c r="K351" s="3" t="s">
        <v>25</v>
      </c>
      <c r="L351" s="3" t="s">
        <v>116</v>
      </c>
      <c r="M351" s="3" t="s">
        <v>166</v>
      </c>
      <c r="N351" s="3">
        <v>3</v>
      </c>
      <c r="O351" s="3">
        <v>0.1</v>
      </c>
      <c r="P351" s="3">
        <v>118.05</v>
      </c>
      <c r="Q351" s="3">
        <v>-18.66</v>
      </c>
    </row>
    <row r="352" spans="1:17" x14ac:dyDescent="0.3">
      <c r="A352" s="3">
        <v>348</v>
      </c>
      <c r="B352" s="3" t="s">
        <v>697</v>
      </c>
      <c r="C352" s="3" t="s">
        <v>1501</v>
      </c>
      <c r="D352" s="3" t="s">
        <v>1461</v>
      </c>
      <c r="E352" s="3" t="s">
        <v>56</v>
      </c>
      <c r="F352" s="3" t="s">
        <v>698</v>
      </c>
      <c r="G352" s="3" t="s">
        <v>39</v>
      </c>
      <c r="H352" s="3" t="s">
        <v>40</v>
      </c>
      <c r="I352" s="3" t="s">
        <v>185</v>
      </c>
      <c r="J352" s="3" t="s">
        <v>186</v>
      </c>
      <c r="K352" s="3" t="s">
        <v>25</v>
      </c>
      <c r="L352" s="3" t="s">
        <v>74</v>
      </c>
      <c r="M352" s="3" t="s">
        <v>75</v>
      </c>
      <c r="N352" s="3">
        <v>2</v>
      </c>
      <c r="O352" s="3">
        <v>0</v>
      </c>
      <c r="P352" s="3">
        <v>116.3</v>
      </c>
      <c r="Q352" s="3">
        <v>9.18</v>
      </c>
    </row>
    <row r="353" spans="1:17" x14ac:dyDescent="0.3">
      <c r="A353" s="3">
        <v>349</v>
      </c>
      <c r="B353" s="3" t="s">
        <v>699</v>
      </c>
      <c r="C353" s="3" t="s">
        <v>1417</v>
      </c>
      <c r="D353" s="3" t="s">
        <v>1502</v>
      </c>
      <c r="E353" s="3" t="s">
        <v>62</v>
      </c>
      <c r="F353" s="3" t="s">
        <v>29</v>
      </c>
      <c r="G353" s="3" t="s">
        <v>39</v>
      </c>
      <c r="H353" s="3" t="s">
        <v>40</v>
      </c>
      <c r="I353" s="3" t="s">
        <v>114</v>
      </c>
      <c r="J353" s="3" t="s">
        <v>115</v>
      </c>
      <c r="K353" s="3" t="s">
        <v>25</v>
      </c>
      <c r="L353" s="3" t="s">
        <v>26</v>
      </c>
      <c r="M353" s="3" t="s">
        <v>259</v>
      </c>
      <c r="N353" s="3">
        <v>10</v>
      </c>
      <c r="O353" s="3">
        <v>0.1</v>
      </c>
      <c r="P353" s="3">
        <v>243.86</v>
      </c>
      <c r="Q353" s="3">
        <v>-25.51</v>
      </c>
    </row>
    <row r="354" spans="1:17" x14ac:dyDescent="0.3">
      <c r="A354" s="3">
        <v>350</v>
      </c>
      <c r="B354" s="3" t="s">
        <v>700</v>
      </c>
      <c r="C354" s="3" t="s">
        <v>1503</v>
      </c>
      <c r="D354" s="3" t="s">
        <v>1504</v>
      </c>
      <c r="E354" s="3" t="s">
        <v>19</v>
      </c>
      <c r="F354" s="3" t="s">
        <v>330</v>
      </c>
      <c r="G354" s="3" t="s">
        <v>39</v>
      </c>
      <c r="H354" s="3" t="s">
        <v>22</v>
      </c>
      <c r="I354" s="3" t="s">
        <v>84</v>
      </c>
      <c r="J354" s="3" t="s">
        <v>85</v>
      </c>
      <c r="K354" s="3" t="s">
        <v>25</v>
      </c>
      <c r="L354" s="3" t="s">
        <v>106</v>
      </c>
      <c r="M354" s="3" t="s">
        <v>123</v>
      </c>
      <c r="N354" s="3">
        <v>10</v>
      </c>
      <c r="O354" s="3">
        <v>0.15</v>
      </c>
      <c r="P354" s="3">
        <v>757.68</v>
      </c>
      <c r="Q354" s="3">
        <v>-112.48</v>
      </c>
    </row>
    <row r="355" spans="1:17" x14ac:dyDescent="0.3">
      <c r="A355" s="3">
        <v>351</v>
      </c>
      <c r="B355" s="3" t="s">
        <v>701</v>
      </c>
      <c r="C355" s="3" t="s">
        <v>1505</v>
      </c>
      <c r="D355" s="3" t="s">
        <v>1506</v>
      </c>
      <c r="E355" s="3" t="s">
        <v>37</v>
      </c>
      <c r="F355" s="3" t="s">
        <v>609</v>
      </c>
      <c r="G355" s="3" t="s">
        <v>21</v>
      </c>
      <c r="H355" s="3" t="s">
        <v>90</v>
      </c>
      <c r="I355" s="3" t="s">
        <v>169</v>
      </c>
      <c r="J355" s="3" t="s">
        <v>170</v>
      </c>
      <c r="K355" s="3" t="s">
        <v>58</v>
      </c>
      <c r="L355" s="3" t="s">
        <v>86</v>
      </c>
      <c r="M355" s="3" t="s">
        <v>87</v>
      </c>
      <c r="N355" s="3">
        <v>3</v>
      </c>
      <c r="O355" s="3">
        <v>0</v>
      </c>
      <c r="P355" s="3">
        <v>1158.4000000000001</v>
      </c>
      <c r="Q355" s="3">
        <v>-211.5</v>
      </c>
    </row>
    <row r="356" spans="1:17" x14ac:dyDescent="0.3">
      <c r="A356" s="3">
        <v>352</v>
      </c>
      <c r="B356" s="3" t="s">
        <v>702</v>
      </c>
      <c r="C356" s="3" t="s">
        <v>1106</v>
      </c>
      <c r="D356" s="3" t="s">
        <v>1341</v>
      </c>
      <c r="E356" s="3" t="s">
        <v>19</v>
      </c>
      <c r="F356" s="3" t="s">
        <v>703</v>
      </c>
      <c r="G356" s="3" t="s">
        <v>39</v>
      </c>
      <c r="H356" s="3" t="s">
        <v>22</v>
      </c>
      <c r="I356" s="3" t="s">
        <v>72</v>
      </c>
      <c r="J356" s="3" t="s">
        <v>73</v>
      </c>
      <c r="K356" s="3" t="s">
        <v>25</v>
      </c>
      <c r="L356" s="3" t="s">
        <v>116</v>
      </c>
      <c r="M356" s="3" t="s">
        <v>166</v>
      </c>
      <c r="N356" s="3">
        <v>1</v>
      </c>
      <c r="O356" s="3">
        <v>0.1</v>
      </c>
      <c r="P356" s="3">
        <v>39.93</v>
      </c>
      <c r="Q356" s="3">
        <v>-5.0999999999999996</v>
      </c>
    </row>
    <row r="357" spans="1:17" x14ac:dyDescent="0.3">
      <c r="A357" s="3">
        <v>353</v>
      </c>
      <c r="B357" s="3" t="s">
        <v>704</v>
      </c>
      <c r="C357" s="3" t="s">
        <v>1507</v>
      </c>
      <c r="D357" s="3" t="s">
        <v>1508</v>
      </c>
      <c r="E357" s="3" t="s">
        <v>62</v>
      </c>
      <c r="F357" s="3" t="s">
        <v>300</v>
      </c>
      <c r="G357" s="3" t="s">
        <v>39</v>
      </c>
      <c r="H357" s="3" t="s">
        <v>22</v>
      </c>
      <c r="I357" s="3" t="s">
        <v>84</v>
      </c>
      <c r="J357" s="3" t="s">
        <v>85</v>
      </c>
      <c r="K357" s="3" t="s">
        <v>25</v>
      </c>
      <c r="L357" s="3" t="s">
        <v>53</v>
      </c>
      <c r="M357" s="3" t="s">
        <v>171</v>
      </c>
      <c r="N357" s="3">
        <v>3</v>
      </c>
      <c r="O357" s="3">
        <v>0.1</v>
      </c>
      <c r="P357" s="3">
        <v>26.46</v>
      </c>
      <c r="Q357" s="3">
        <v>5.91</v>
      </c>
    </row>
    <row r="358" spans="1:17" x14ac:dyDescent="0.3">
      <c r="A358" s="3">
        <v>354</v>
      </c>
      <c r="B358" s="3" t="s">
        <v>705</v>
      </c>
      <c r="C358" s="3" t="s">
        <v>1509</v>
      </c>
      <c r="D358" s="3" t="s">
        <v>1490</v>
      </c>
      <c r="E358" s="3" t="s">
        <v>56</v>
      </c>
      <c r="F358" s="3" t="s">
        <v>541</v>
      </c>
      <c r="G358" s="3" t="s">
        <v>30</v>
      </c>
      <c r="H358" s="3" t="s">
        <v>22</v>
      </c>
      <c r="I358" s="3" t="s">
        <v>84</v>
      </c>
      <c r="J358" s="3" t="s">
        <v>85</v>
      </c>
      <c r="K358" s="3" t="s">
        <v>25</v>
      </c>
      <c r="L358" s="3" t="s">
        <v>53</v>
      </c>
      <c r="M358" s="3" t="s">
        <v>171</v>
      </c>
      <c r="N358" s="3">
        <v>2</v>
      </c>
      <c r="O358" s="3">
        <v>0.3</v>
      </c>
      <c r="P358" s="3">
        <v>7.74</v>
      </c>
      <c r="Q358" s="3">
        <v>-0.86</v>
      </c>
    </row>
    <row r="359" spans="1:17" x14ac:dyDescent="0.3">
      <c r="A359" s="3">
        <v>355</v>
      </c>
      <c r="B359" s="3" t="s">
        <v>706</v>
      </c>
      <c r="C359" s="3" t="s">
        <v>1407</v>
      </c>
      <c r="D359" s="3" t="s">
        <v>1358</v>
      </c>
      <c r="E359" s="3" t="s">
        <v>37</v>
      </c>
      <c r="F359" s="3" t="s">
        <v>707</v>
      </c>
      <c r="G359" s="3" t="s">
        <v>39</v>
      </c>
      <c r="H359" s="3" t="s">
        <v>22</v>
      </c>
      <c r="I359" s="3" t="s">
        <v>68</v>
      </c>
      <c r="J359" s="3" t="s">
        <v>69</v>
      </c>
      <c r="K359" s="3" t="s">
        <v>33</v>
      </c>
      <c r="L359" s="3" t="s">
        <v>34</v>
      </c>
      <c r="M359" s="3" t="s">
        <v>43</v>
      </c>
      <c r="N359" s="3">
        <v>9</v>
      </c>
      <c r="O359" s="3">
        <v>0.4</v>
      </c>
      <c r="P359" s="3">
        <v>1828.14</v>
      </c>
      <c r="Q359" s="3">
        <v>-25.52</v>
      </c>
    </row>
    <row r="360" spans="1:17" x14ac:dyDescent="0.3">
      <c r="A360" s="3">
        <v>356</v>
      </c>
      <c r="B360" s="3" t="s">
        <v>708</v>
      </c>
      <c r="C360" s="3" t="s">
        <v>1273</v>
      </c>
      <c r="D360" s="3" t="s">
        <v>1510</v>
      </c>
      <c r="E360" s="3" t="s">
        <v>56</v>
      </c>
      <c r="F360" s="3" t="s">
        <v>379</v>
      </c>
      <c r="G360" s="3" t="s">
        <v>30</v>
      </c>
      <c r="H360" s="3" t="s">
        <v>46</v>
      </c>
      <c r="I360" s="3" t="s">
        <v>281</v>
      </c>
      <c r="J360" s="3" t="s">
        <v>282</v>
      </c>
      <c r="K360" s="3" t="s">
        <v>25</v>
      </c>
      <c r="L360" s="3" t="s">
        <v>80</v>
      </c>
      <c r="M360" s="3" t="s">
        <v>150</v>
      </c>
      <c r="N360" s="3">
        <v>5</v>
      </c>
      <c r="O360" s="3">
        <v>0</v>
      </c>
      <c r="P360" s="3">
        <v>528.41999999999996</v>
      </c>
      <c r="Q360" s="3">
        <v>167.24</v>
      </c>
    </row>
    <row r="361" spans="1:17" x14ac:dyDescent="0.3">
      <c r="A361" s="3">
        <v>357</v>
      </c>
      <c r="B361" s="3" t="s">
        <v>709</v>
      </c>
      <c r="C361" s="3" t="s">
        <v>1511</v>
      </c>
      <c r="D361" s="3" t="s">
        <v>1263</v>
      </c>
      <c r="E361" s="3" t="s">
        <v>19</v>
      </c>
      <c r="F361" s="3" t="s">
        <v>449</v>
      </c>
      <c r="G361" s="3" t="s">
        <v>21</v>
      </c>
      <c r="H361" s="3" t="s">
        <v>40</v>
      </c>
      <c r="I361" s="3" t="s">
        <v>158</v>
      </c>
      <c r="J361" s="3" t="s">
        <v>159</v>
      </c>
      <c r="K361" s="3" t="s">
        <v>25</v>
      </c>
      <c r="L361" s="3" t="s">
        <v>80</v>
      </c>
      <c r="M361" s="3" t="s">
        <v>81</v>
      </c>
      <c r="N361" s="3">
        <v>10</v>
      </c>
      <c r="O361" s="3">
        <v>0.15</v>
      </c>
      <c r="P361" s="3">
        <v>191.23</v>
      </c>
      <c r="Q361" s="3">
        <v>56.57</v>
      </c>
    </row>
    <row r="362" spans="1:17" x14ac:dyDescent="0.3">
      <c r="A362" s="3">
        <v>358</v>
      </c>
      <c r="B362" s="3" t="s">
        <v>710</v>
      </c>
      <c r="C362" s="3" t="s">
        <v>1512</v>
      </c>
      <c r="D362" s="3" t="s">
        <v>1254</v>
      </c>
      <c r="E362" s="3" t="s">
        <v>62</v>
      </c>
      <c r="F362" s="3" t="s">
        <v>685</v>
      </c>
      <c r="G362" s="3" t="s">
        <v>30</v>
      </c>
      <c r="H362" s="3" t="s">
        <v>40</v>
      </c>
      <c r="I362" s="3" t="s">
        <v>223</v>
      </c>
      <c r="J362" s="3" t="s">
        <v>224</v>
      </c>
      <c r="K362" s="3" t="s">
        <v>25</v>
      </c>
      <c r="L362" s="3" t="s">
        <v>26</v>
      </c>
      <c r="M362" s="3" t="s">
        <v>27</v>
      </c>
      <c r="N362" s="3">
        <v>12</v>
      </c>
      <c r="O362" s="3">
        <v>0</v>
      </c>
      <c r="P362" s="3">
        <v>1296.48</v>
      </c>
      <c r="Q362" s="3">
        <v>10.42</v>
      </c>
    </row>
    <row r="363" spans="1:17" x14ac:dyDescent="0.3">
      <c r="A363" s="3">
        <v>359</v>
      </c>
      <c r="B363" s="3" t="s">
        <v>711</v>
      </c>
      <c r="C363" s="3" t="s">
        <v>1513</v>
      </c>
      <c r="D363" s="3" t="s">
        <v>1514</v>
      </c>
      <c r="E363" s="3" t="s">
        <v>19</v>
      </c>
      <c r="F363" s="3" t="s">
        <v>712</v>
      </c>
      <c r="G363" s="3" t="s">
        <v>21</v>
      </c>
      <c r="H363" s="3" t="s">
        <v>22</v>
      </c>
      <c r="I363" s="3" t="s">
        <v>68</v>
      </c>
      <c r="J363" s="3" t="s">
        <v>69</v>
      </c>
      <c r="K363" s="3" t="s">
        <v>25</v>
      </c>
      <c r="L363" s="3" t="s">
        <v>26</v>
      </c>
      <c r="M363" s="3" t="s">
        <v>155</v>
      </c>
      <c r="N363" s="3">
        <v>6</v>
      </c>
      <c r="O363" s="3">
        <v>0.3</v>
      </c>
      <c r="P363" s="3">
        <v>577.97</v>
      </c>
      <c r="Q363" s="3">
        <v>188.83</v>
      </c>
    </row>
    <row r="364" spans="1:17" x14ac:dyDescent="0.3">
      <c r="A364" s="3">
        <v>360</v>
      </c>
      <c r="B364" s="3" t="s">
        <v>713</v>
      </c>
      <c r="C364" s="3" t="s">
        <v>1515</v>
      </c>
      <c r="D364" s="3" t="s">
        <v>1216</v>
      </c>
      <c r="E364" s="3" t="s">
        <v>56</v>
      </c>
      <c r="F364" s="3" t="s">
        <v>543</v>
      </c>
      <c r="G364" s="3" t="s">
        <v>21</v>
      </c>
      <c r="H364" s="3" t="s">
        <v>22</v>
      </c>
      <c r="I364" s="3" t="s">
        <v>68</v>
      </c>
      <c r="J364" s="3" t="s">
        <v>69</v>
      </c>
      <c r="K364" s="3" t="s">
        <v>33</v>
      </c>
      <c r="L364" s="3" t="s">
        <v>64</v>
      </c>
      <c r="M364" s="3" t="s">
        <v>65</v>
      </c>
      <c r="N364" s="3">
        <v>4</v>
      </c>
      <c r="O364" s="3">
        <v>0.1</v>
      </c>
      <c r="P364" s="3">
        <v>1658.87</v>
      </c>
      <c r="Q364" s="3">
        <v>269.44</v>
      </c>
    </row>
    <row r="365" spans="1:17" x14ac:dyDescent="0.3">
      <c r="A365" s="3">
        <v>361</v>
      </c>
      <c r="B365" s="3" t="s">
        <v>714</v>
      </c>
      <c r="C365" s="3" t="s">
        <v>1516</v>
      </c>
      <c r="D365" s="3" t="s">
        <v>1517</v>
      </c>
      <c r="E365" s="3" t="s">
        <v>19</v>
      </c>
      <c r="F365" s="3" t="s">
        <v>173</v>
      </c>
      <c r="G365" s="3" t="s">
        <v>21</v>
      </c>
      <c r="H365" s="3" t="s">
        <v>46</v>
      </c>
      <c r="I365" s="3" t="s">
        <v>78</v>
      </c>
      <c r="J365" s="3" t="s">
        <v>79</v>
      </c>
      <c r="K365" s="3" t="s">
        <v>58</v>
      </c>
      <c r="L365" s="3" t="s">
        <v>217</v>
      </c>
      <c r="M365" s="3" t="s">
        <v>218</v>
      </c>
      <c r="N365" s="3">
        <v>4</v>
      </c>
      <c r="O365" s="3">
        <v>0.3</v>
      </c>
      <c r="P365" s="3">
        <v>496.31</v>
      </c>
      <c r="Q365" s="3">
        <v>103.59</v>
      </c>
    </row>
    <row r="366" spans="1:17" x14ac:dyDescent="0.3">
      <c r="A366" s="3">
        <v>362</v>
      </c>
      <c r="B366" s="3" t="s">
        <v>715</v>
      </c>
      <c r="C366" s="3" t="s">
        <v>997</v>
      </c>
      <c r="D366" s="3" t="s">
        <v>1518</v>
      </c>
      <c r="E366" s="3" t="s">
        <v>37</v>
      </c>
      <c r="F366" s="3" t="s">
        <v>716</v>
      </c>
      <c r="G366" s="3" t="s">
        <v>39</v>
      </c>
      <c r="H366" s="3" t="s">
        <v>40</v>
      </c>
      <c r="I366" s="3" t="s">
        <v>158</v>
      </c>
      <c r="J366" s="3" t="s">
        <v>159</v>
      </c>
      <c r="K366" s="3" t="s">
        <v>33</v>
      </c>
      <c r="L366" s="3" t="s">
        <v>34</v>
      </c>
      <c r="M366" s="3" t="s">
        <v>597</v>
      </c>
      <c r="N366" s="3">
        <v>14</v>
      </c>
      <c r="O366" s="3">
        <v>0.1</v>
      </c>
      <c r="P366" s="3">
        <v>4533.59</v>
      </c>
      <c r="Q366" s="3">
        <v>29.62</v>
      </c>
    </row>
    <row r="367" spans="1:17" x14ac:dyDescent="0.3">
      <c r="A367" s="3">
        <v>363</v>
      </c>
      <c r="B367" s="3" t="s">
        <v>717</v>
      </c>
      <c r="C367" s="3" t="s">
        <v>1519</v>
      </c>
      <c r="D367" s="3" t="s">
        <v>1520</v>
      </c>
      <c r="E367" s="3" t="s">
        <v>62</v>
      </c>
      <c r="F367" s="3" t="s">
        <v>306</v>
      </c>
      <c r="G367" s="3" t="s">
        <v>30</v>
      </c>
      <c r="H367" s="3" t="s">
        <v>90</v>
      </c>
      <c r="I367" s="3" t="s">
        <v>91</v>
      </c>
      <c r="J367" s="3" t="s">
        <v>92</v>
      </c>
      <c r="K367" s="3" t="s">
        <v>58</v>
      </c>
      <c r="L367" s="3" t="s">
        <v>59</v>
      </c>
      <c r="M367" s="3" t="s">
        <v>295</v>
      </c>
      <c r="N367" s="3">
        <v>8</v>
      </c>
      <c r="O367" s="3">
        <v>0</v>
      </c>
      <c r="P367" s="3">
        <v>3349.56</v>
      </c>
      <c r="Q367" s="3">
        <v>926.72</v>
      </c>
    </row>
    <row r="368" spans="1:17" x14ac:dyDescent="0.3">
      <c r="A368" s="3">
        <v>364</v>
      </c>
      <c r="B368" s="3" t="s">
        <v>718</v>
      </c>
      <c r="C368" s="3" t="s">
        <v>1521</v>
      </c>
      <c r="D368" s="3" t="s">
        <v>1522</v>
      </c>
      <c r="E368" s="3" t="s">
        <v>19</v>
      </c>
      <c r="F368" s="3" t="s">
        <v>626</v>
      </c>
      <c r="G368" s="3" t="s">
        <v>21</v>
      </c>
      <c r="H368" s="3" t="s">
        <v>90</v>
      </c>
      <c r="I368" s="3" t="s">
        <v>91</v>
      </c>
      <c r="J368" s="3" t="s">
        <v>92</v>
      </c>
      <c r="K368" s="3" t="s">
        <v>25</v>
      </c>
      <c r="L368" s="3" t="s">
        <v>116</v>
      </c>
      <c r="M368" s="3" t="s">
        <v>202</v>
      </c>
      <c r="N368" s="3">
        <v>7</v>
      </c>
      <c r="O368" s="3">
        <v>0.15</v>
      </c>
      <c r="P368" s="3">
        <v>711.01</v>
      </c>
      <c r="Q368" s="3">
        <v>19.059999999999999</v>
      </c>
    </row>
    <row r="369" spans="1:17" x14ac:dyDescent="0.3">
      <c r="A369" s="3">
        <v>365</v>
      </c>
      <c r="B369" s="3" t="s">
        <v>719</v>
      </c>
      <c r="C369" s="3" t="s">
        <v>1523</v>
      </c>
      <c r="D369" s="3" t="s">
        <v>1524</v>
      </c>
      <c r="E369" s="3" t="s">
        <v>19</v>
      </c>
      <c r="F369" s="3" t="s">
        <v>52</v>
      </c>
      <c r="G369" s="3" t="s">
        <v>39</v>
      </c>
      <c r="H369" s="3" t="s">
        <v>90</v>
      </c>
      <c r="I369" s="3" t="s">
        <v>110</v>
      </c>
      <c r="J369" s="3" t="s">
        <v>111</v>
      </c>
      <c r="K369" s="3" t="s">
        <v>33</v>
      </c>
      <c r="L369" s="3" t="s">
        <v>49</v>
      </c>
      <c r="M369" s="3" t="s">
        <v>208</v>
      </c>
      <c r="N369" s="3">
        <v>9</v>
      </c>
      <c r="O369" s="3">
        <v>0.3</v>
      </c>
      <c r="P369" s="3">
        <v>952.76</v>
      </c>
      <c r="Q369" s="3">
        <v>-53.28</v>
      </c>
    </row>
    <row r="370" spans="1:17" x14ac:dyDescent="0.3">
      <c r="A370" s="3">
        <v>366</v>
      </c>
      <c r="B370" s="3" t="s">
        <v>720</v>
      </c>
      <c r="C370" s="3" t="s">
        <v>1146</v>
      </c>
      <c r="D370" s="3" t="s">
        <v>1525</v>
      </c>
      <c r="E370" s="3" t="s">
        <v>56</v>
      </c>
      <c r="F370" s="3" t="s">
        <v>721</v>
      </c>
      <c r="G370" s="3" t="s">
        <v>39</v>
      </c>
      <c r="H370" s="3" t="s">
        <v>90</v>
      </c>
      <c r="I370" s="3" t="s">
        <v>169</v>
      </c>
      <c r="J370" s="3" t="s">
        <v>170</v>
      </c>
      <c r="K370" s="3" t="s">
        <v>25</v>
      </c>
      <c r="L370" s="3" t="s">
        <v>53</v>
      </c>
      <c r="M370" s="3" t="s">
        <v>171</v>
      </c>
      <c r="N370" s="3">
        <v>3</v>
      </c>
      <c r="O370" s="3">
        <v>0</v>
      </c>
      <c r="P370" s="3">
        <v>260.3</v>
      </c>
      <c r="Q370" s="3">
        <v>-50.83</v>
      </c>
    </row>
    <row r="371" spans="1:17" x14ac:dyDescent="0.3">
      <c r="A371" s="3">
        <v>367</v>
      </c>
      <c r="B371" s="3" t="s">
        <v>722</v>
      </c>
      <c r="C371" s="3" t="s">
        <v>1526</v>
      </c>
      <c r="D371" s="3" t="s">
        <v>1527</v>
      </c>
      <c r="E371" s="3" t="s">
        <v>37</v>
      </c>
      <c r="F371" s="3" t="s">
        <v>723</v>
      </c>
      <c r="G371" s="3" t="s">
        <v>30</v>
      </c>
      <c r="H371" s="3" t="s">
        <v>40</v>
      </c>
      <c r="I371" s="3" t="s">
        <v>185</v>
      </c>
      <c r="J371" s="3" t="s">
        <v>186</v>
      </c>
      <c r="K371" s="3" t="s">
        <v>25</v>
      </c>
      <c r="L371" s="3" t="s">
        <v>116</v>
      </c>
      <c r="M371" s="3" t="s">
        <v>202</v>
      </c>
      <c r="N371" s="3">
        <v>14</v>
      </c>
      <c r="O371" s="3">
        <v>0</v>
      </c>
      <c r="P371" s="3">
        <v>1117.54</v>
      </c>
      <c r="Q371" s="3">
        <v>-170.68</v>
      </c>
    </row>
    <row r="372" spans="1:17" x14ac:dyDescent="0.3">
      <c r="A372" s="3">
        <v>368</v>
      </c>
      <c r="B372" s="3" t="s">
        <v>724</v>
      </c>
      <c r="C372" s="3" t="s">
        <v>1528</v>
      </c>
      <c r="D372" s="3" t="s">
        <v>1529</v>
      </c>
      <c r="E372" s="3" t="s">
        <v>56</v>
      </c>
      <c r="F372" s="3" t="s">
        <v>725</v>
      </c>
      <c r="G372" s="3" t="s">
        <v>21</v>
      </c>
      <c r="H372" s="3" t="s">
        <v>46</v>
      </c>
      <c r="I372" s="3" t="s">
        <v>146</v>
      </c>
      <c r="J372" s="3" t="s">
        <v>147</v>
      </c>
      <c r="K372" s="3" t="s">
        <v>25</v>
      </c>
      <c r="L372" s="3" t="s">
        <v>26</v>
      </c>
      <c r="M372" s="3" t="s">
        <v>27</v>
      </c>
      <c r="N372" s="3">
        <v>1</v>
      </c>
      <c r="O372" s="3">
        <v>0.15</v>
      </c>
      <c r="P372" s="3">
        <v>72.069999999999993</v>
      </c>
      <c r="Q372" s="3">
        <v>-17.489999999999998</v>
      </c>
    </row>
    <row r="373" spans="1:17" x14ac:dyDescent="0.3">
      <c r="A373" s="3">
        <v>369</v>
      </c>
      <c r="B373" s="3" t="s">
        <v>726</v>
      </c>
      <c r="C373" s="3" t="s">
        <v>1530</v>
      </c>
      <c r="D373" s="3" t="s">
        <v>1531</v>
      </c>
      <c r="E373" s="3" t="s">
        <v>62</v>
      </c>
      <c r="F373" s="3" t="s">
        <v>727</v>
      </c>
      <c r="G373" s="3" t="s">
        <v>21</v>
      </c>
      <c r="H373" s="3" t="s">
        <v>40</v>
      </c>
      <c r="I373" s="3" t="s">
        <v>114</v>
      </c>
      <c r="J373" s="3" t="s">
        <v>115</v>
      </c>
      <c r="K373" s="3" t="s">
        <v>25</v>
      </c>
      <c r="L373" s="3" t="s">
        <v>74</v>
      </c>
      <c r="M373" s="3" t="s">
        <v>180</v>
      </c>
      <c r="N373" s="3">
        <v>2</v>
      </c>
      <c r="O373" s="3">
        <v>0</v>
      </c>
      <c r="P373" s="3">
        <v>145.88999999999999</v>
      </c>
      <c r="Q373" s="3">
        <v>-15.05</v>
      </c>
    </row>
    <row r="374" spans="1:17" x14ac:dyDescent="0.3">
      <c r="A374" s="3">
        <v>370</v>
      </c>
      <c r="B374" s="3" t="s">
        <v>728</v>
      </c>
      <c r="C374" s="3" t="s">
        <v>1532</v>
      </c>
      <c r="D374" s="3" t="s">
        <v>1052</v>
      </c>
      <c r="E374" s="3" t="s">
        <v>19</v>
      </c>
      <c r="F374" s="3" t="s">
        <v>377</v>
      </c>
      <c r="G374" s="3" t="s">
        <v>30</v>
      </c>
      <c r="H374" s="3" t="s">
        <v>40</v>
      </c>
      <c r="I374" s="3" t="s">
        <v>114</v>
      </c>
      <c r="J374" s="3" t="s">
        <v>115</v>
      </c>
      <c r="K374" s="3" t="s">
        <v>33</v>
      </c>
      <c r="L374" s="3" t="s">
        <v>64</v>
      </c>
      <c r="M374" s="3" t="s">
        <v>126</v>
      </c>
      <c r="N374" s="3">
        <v>1</v>
      </c>
      <c r="O374" s="3">
        <v>0.15</v>
      </c>
      <c r="P374" s="3">
        <v>453.84</v>
      </c>
      <c r="Q374" s="3">
        <v>-23.3</v>
      </c>
    </row>
    <row r="375" spans="1:17" x14ac:dyDescent="0.3">
      <c r="A375" s="3">
        <v>371</v>
      </c>
      <c r="B375" s="3" t="s">
        <v>729</v>
      </c>
      <c r="C375" s="3" t="s">
        <v>1533</v>
      </c>
      <c r="D375" s="3" t="s">
        <v>1534</v>
      </c>
      <c r="E375" s="3" t="s">
        <v>37</v>
      </c>
      <c r="F375" s="3" t="s">
        <v>730</v>
      </c>
      <c r="G375" s="3" t="s">
        <v>30</v>
      </c>
      <c r="H375" s="3" t="s">
        <v>40</v>
      </c>
      <c r="I375" s="3" t="s">
        <v>41</v>
      </c>
      <c r="J375" s="3" t="s">
        <v>42</v>
      </c>
      <c r="K375" s="3" t="s">
        <v>25</v>
      </c>
      <c r="L375" s="3" t="s">
        <v>53</v>
      </c>
      <c r="M375" s="3" t="s">
        <v>171</v>
      </c>
      <c r="N375" s="3">
        <v>13</v>
      </c>
      <c r="O375" s="3">
        <v>0.4</v>
      </c>
      <c r="P375" s="3">
        <v>781.77</v>
      </c>
      <c r="Q375" s="3">
        <v>156.04</v>
      </c>
    </row>
    <row r="376" spans="1:17" x14ac:dyDescent="0.3">
      <c r="A376" s="3">
        <v>372</v>
      </c>
      <c r="B376" s="3" t="s">
        <v>731</v>
      </c>
      <c r="C376" s="3" t="s">
        <v>1535</v>
      </c>
      <c r="D376" s="3" t="s">
        <v>1536</v>
      </c>
      <c r="E376" s="3" t="s">
        <v>19</v>
      </c>
      <c r="F376" s="3" t="s">
        <v>556</v>
      </c>
      <c r="G376" s="3" t="s">
        <v>39</v>
      </c>
      <c r="H376" s="3" t="s">
        <v>46</v>
      </c>
      <c r="I376" s="3" t="s">
        <v>146</v>
      </c>
      <c r="J376" s="3" t="s">
        <v>147</v>
      </c>
      <c r="K376" s="3" t="s">
        <v>58</v>
      </c>
      <c r="L376" s="3" t="s">
        <v>217</v>
      </c>
      <c r="M376" s="3" t="s">
        <v>232</v>
      </c>
      <c r="N376" s="3">
        <v>3</v>
      </c>
      <c r="O376" s="3">
        <v>0.15</v>
      </c>
      <c r="P376" s="3">
        <v>250.26</v>
      </c>
      <c r="Q376" s="3">
        <v>-13.13</v>
      </c>
    </row>
    <row r="377" spans="1:17" x14ac:dyDescent="0.3">
      <c r="A377" s="3">
        <v>373</v>
      </c>
      <c r="B377" s="3" t="s">
        <v>732</v>
      </c>
      <c r="C377" s="3" t="s">
        <v>1346</v>
      </c>
      <c r="D377" s="3" t="s">
        <v>1046</v>
      </c>
      <c r="E377" s="3" t="s">
        <v>37</v>
      </c>
      <c r="F377" s="3" t="s">
        <v>128</v>
      </c>
      <c r="G377" s="3" t="s">
        <v>39</v>
      </c>
      <c r="H377" s="3" t="s">
        <v>22</v>
      </c>
      <c r="I377" s="3" t="s">
        <v>23</v>
      </c>
      <c r="J377" s="3" t="s">
        <v>24</v>
      </c>
      <c r="K377" s="3" t="s">
        <v>25</v>
      </c>
      <c r="L377" s="3" t="s">
        <v>53</v>
      </c>
      <c r="M377" s="3" t="s">
        <v>171</v>
      </c>
      <c r="N377" s="3">
        <v>12</v>
      </c>
      <c r="O377" s="3">
        <v>0.15</v>
      </c>
      <c r="P377" s="3">
        <v>954.17</v>
      </c>
      <c r="Q377" s="3">
        <v>5.95</v>
      </c>
    </row>
    <row r="378" spans="1:17" x14ac:dyDescent="0.3">
      <c r="A378" s="3">
        <v>374</v>
      </c>
      <c r="B378" s="3" t="s">
        <v>733</v>
      </c>
      <c r="C378" s="3" t="s">
        <v>1310</v>
      </c>
      <c r="D378" s="3" t="s">
        <v>1537</v>
      </c>
      <c r="E378" s="3" t="s">
        <v>56</v>
      </c>
      <c r="F378" s="3" t="s">
        <v>734</v>
      </c>
      <c r="G378" s="3" t="s">
        <v>21</v>
      </c>
      <c r="H378" s="3" t="s">
        <v>40</v>
      </c>
      <c r="I378" s="3" t="s">
        <v>223</v>
      </c>
      <c r="J378" s="3" t="s">
        <v>224</v>
      </c>
      <c r="K378" s="3" t="s">
        <v>25</v>
      </c>
      <c r="L378" s="3" t="s">
        <v>80</v>
      </c>
      <c r="M378" s="3" t="s">
        <v>150</v>
      </c>
      <c r="N378" s="3">
        <v>3</v>
      </c>
      <c r="O378" s="3">
        <v>0.1</v>
      </c>
      <c r="P378" s="3">
        <v>309.25</v>
      </c>
      <c r="Q378" s="3">
        <v>54.17</v>
      </c>
    </row>
    <row r="379" spans="1:17" x14ac:dyDescent="0.3">
      <c r="A379" s="3">
        <v>375</v>
      </c>
      <c r="B379" s="3" t="s">
        <v>735</v>
      </c>
      <c r="C379" s="3" t="s">
        <v>1538</v>
      </c>
      <c r="D379" s="3" t="s">
        <v>1227</v>
      </c>
      <c r="E379" s="3" t="s">
        <v>37</v>
      </c>
      <c r="F379" s="3" t="s">
        <v>401</v>
      </c>
      <c r="G379" s="3" t="s">
        <v>21</v>
      </c>
      <c r="H379" s="3" t="s">
        <v>22</v>
      </c>
      <c r="I379" s="3" t="s">
        <v>68</v>
      </c>
      <c r="J379" s="3" t="s">
        <v>69</v>
      </c>
      <c r="K379" s="3" t="s">
        <v>58</v>
      </c>
      <c r="L379" s="3" t="s">
        <v>217</v>
      </c>
      <c r="M379" s="3" t="s">
        <v>218</v>
      </c>
      <c r="N379" s="3">
        <v>6</v>
      </c>
      <c r="O379" s="3">
        <v>0.1</v>
      </c>
      <c r="P379" s="3">
        <v>1707.56</v>
      </c>
      <c r="Q379" s="3">
        <v>-415.32</v>
      </c>
    </row>
    <row r="380" spans="1:17" x14ac:dyDescent="0.3">
      <c r="A380" s="3">
        <v>376</v>
      </c>
      <c r="B380" s="3" t="s">
        <v>736</v>
      </c>
      <c r="C380" s="3" t="s">
        <v>1380</v>
      </c>
      <c r="D380" s="3" t="s">
        <v>1539</v>
      </c>
      <c r="E380" s="3" t="s">
        <v>56</v>
      </c>
      <c r="F380" s="3" t="s">
        <v>737</v>
      </c>
      <c r="G380" s="3" t="s">
        <v>39</v>
      </c>
      <c r="H380" s="3" t="s">
        <v>46</v>
      </c>
      <c r="I380" s="3" t="s">
        <v>47</v>
      </c>
      <c r="J380" s="3" t="s">
        <v>48</v>
      </c>
      <c r="K380" s="3" t="s">
        <v>25</v>
      </c>
      <c r="L380" s="3" t="s">
        <v>116</v>
      </c>
      <c r="M380" s="3" t="s">
        <v>202</v>
      </c>
      <c r="N380" s="3">
        <v>6</v>
      </c>
      <c r="O380" s="3">
        <v>0</v>
      </c>
      <c r="P380" s="3">
        <v>292.39999999999998</v>
      </c>
      <c r="Q380" s="3">
        <v>72.87</v>
      </c>
    </row>
    <row r="381" spans="1:17" x14ac:dyDescent="0.3">
      <c r="A381" s="3">
        <v>377</v>
      </c>
      <c r="B381" s="3" t="s">
        <v>738</v>
      </c>
      <c r="C381" s="3" t="s">
        <v>1086</v>
      </c>
      <c r="D381" s="3" t="s">
        <v>1206</v>
      </c>
      <c r="E381" s="3" t="s">
        <v>37</v>
      </c>
      <c r="F381" s="3" t="s">
        <v>113</v>
      </c>
      <c r="G381" s="3" t="s">
        <v>30</v>
      </c>
      <c r="H381" s="3" t="s">
        <v>90</v>
      </c>
      <c r="I381" s="3" t="s">
        <v>169</v>
      </c>
      <c r="J381" s="3" t="s">
        <v>170</v>
      </c>
      <c r="K381" s="3" t="s">
        <v>25</v>
      </c>
      <c r="L381" s="3" t="s">
        <v>74</v>
      </c>
      <c r="M381" s="3" t="s">
        <v>75</v>
      </c>
      <c r="N381" s="3">
        <v>14</v>
      </c>
      <c r="O381" s="3">
        <v>0.2</v>
      </c>
      <c r="P381" s="3">
        <v>860.17</v>
      </c>
      <c r="Q381" s="3">
        <v>23.64</v>
      </c>
    </row>
    <row r="382" spans="1:17" x14ac:dyDescent="0.3">
      <c r="A382" s="3">
        <v>378</v>
      </c>
      <c r="B382" s="3" t="s">
        <v>739</v>
      </c>
      <c r="C382" s="3" t="s">
        <v>1488</v>
      </c>
      <c r="D382" s="3" t="s">
        <v>1540</v>
      </c>
      <c r="E382" s="3" t="s">
        <v>19</v>
      </c>
      <c r="F382" s="3" t="s">
        <v>740</v>
      </c>
      <c r="G382" s="3" t="s">
        <v>30</v>
      </c>
      <c r="H382" s="3" t="s">
        <v>22</v>
      </c>
      <c r="I382" s="3" t="s">
        <v>68</v>
      </c>
      <c r="J382" s="3" t="s">
        <v>69</v>
      </c>
      <c r="K382" s="3" t="s">
        <v>25</v>
      </c>
      <c r="L382" s="3" t="s">
        <v>106</v>
      </c>
      <c r="M382" s="3" t="s">
        <v>107</v>
      </c>
      <c r="N382" s="3">
        <v>5</v>
      </c>
      <c r="O382" s="3">
        <v>0.2</v>
      </c>
      <c r="P382" s="3">
        <v>475.67</v>
      </c>
      <c r="Q382" s="3">
        <v>161.81</v>
      </c>
    </row>
    <row r="383" spans="1:17" x14ac:dyDescent="0.3">
      <c r="A383" s="3">
        <v>379</v>
      </c>
      <c r="B383" s="3" t="s">
        <v>741</v>
      </c>
      <c r="C383" s="3" t="s">
        <v>1541</v>
      </c>
      <c r="D383" s="3" t="s">
        <v>1514</v>
      </c>
      <c r="E383" s="3" t="s">
        <v>19</v>
      </c>
      <c r="F383" s="3" t="s">
        <v>742</v>
      </c>
      <c r="G383" s="3" t="s">
        <v>30</v>
      </c>
      <c r="H383" s="3" t="s">
        <v>22</v>
      </c>
      <c r="I383" s="3" t="s">
        <v>72</v>
      </c>
      <c r="J383" s="3" t="s">
        <v>73</v>
      </c>
      <c r="K383" s="3" t="s">
        <v>25</v>
      </c>
      <c r="L383" s="3" t="s">
        <v>106</v>
      </c>
      <c r="M383" s="3" t="s">
        <v>136</v>
      </c>
      <c r="N383" s="3">
        <v>7</v>
      </c>
      <c r="O383" s="3">
        <v>0.1</v>
      </c>
      <c r="P383" s="3">
        <v>83.12</v>
      </c>
      <c r="Q383" s="3">
        <v>-2.25</v>
      </c>
    </row>
    <row r="384" spans="1:17" x14ac:dyDescent="0.3">
      <c r="A384" s="3">
        <v>380</v>
      </c>
      <c r="B384" s="3" t="s">
        <v>743</v>
      </c>
      <c r="C384" s="3" t="s">
        <v>1060</v>
      </c>
      <c r="D384" s="3" t="s">
        <v>1363</v>
      </c>
      <c r="E384" s="3" t="s">
        <v>19</v>
      </c>
      <c r="F384" s="3" t="s">
        <v>537</v>
      </c>
      <c r="G384" s="3" t="s">
        <v>30</v>
      </c>
      <c r="H384" s="3" t="s">
        <v>22</v>
      </c>
      <c r="I384" s="3" t="s">
        <v>72</v>
      </c>
      <c r="J384" s="3" t="s">
        <v>73</v>
      </c>
      <c r="K384" s="3" t="s">
        <v>58</v>
      </c>
      <c r="L384" s="3" t="s">
        <v>86</v>
      </c>
      <c r="M384" s="3" t="s">
        <v>87</v>
      </c>
      <c r="N384" s="3">
        <v>1</v>
      </c>
      <c r="O384" s="3">
        <v>0</v>
      </c>
      <c r="P384" s="3">
        <v>405.54</v>
      </c>
      <c r="Q384" s="3">
        <v>-55.1</v>
      </c>
    </row>
    <row r="385" spans="1:17" x14ac:dyDescent="0.3">
      <c r="A385" s="3">
        <v>381</v>
      </c>
      <c r="B385" s="3" t="s">
        <v>744</v>
      </c>
      <c r="C385" s="3" t="s">
        <v>1542</v>
      </c>
      <c r="D385" s="3" t="s">
        <v>1543</v>
      </c>
      <c r="E385" s="3" t="s">
        <v>56</v>
      </c>
      <c r="F385" s="3" t="s">
        <v>525</v>
      </c>
      <c r="G385" s="3" t="s">
        <v>30</v>
      </c>
      <c r="H385" s="3" t="s">
        <v>22</v>
      </c>
      <c r="I385" s="3" t="s">
        <v>31</v>
      </c>
      <c r="J385" s="3" t="s">
        <v>32</v>
      </c>
      <c r="K385" s="3" t="s">
        <v>25</v>
      </c>
      <c r="L385" s="3" t="s">
        <v>26</v>
      </c>
      <c r="M385" s="3" t="s">
        <v>27</v>
      </c>
      <c r="N385" s="3">
        <v>7</v>
      </c>
      <c r="O385" s="3">
        <v>0</v>
      </c>
      <c r="P385" s="3">
        <v>603.5</v>
      </c>
      <c r="Q385" s="3">
        <v>-149.38999999999999</v>
      </c>
    </row>
    <row r="386" spans="1:17" x14ac:dyDescent="0.3">
      <c r="A386" s="3">
        <v>382</v>
      </c>
      <c r="B386" s="3" t="s">
        <v>745</v>
      </c>
      <c r="C386" s="3" t="s">
        <v>1544</v>
      </c>
      <c r="D386" s="3" t="s">
        <v>1545</v>
      </c>
      <c r="E386" s="3" t="s">
        <v>37</v>
      </c>
      <c r="F386" s="3" t="s">
        <v>401</v>
      </c>
      <c r="G386" s="3" t="s">
        <v>39</v>
      </c>
      <c r="H386" s="3" t="s">
        <v>22</v>
      </c>
      <c r="I386" s="3" t="s">
        <v>23</v>
      </c>
      <c r="J386" s="3" t="s">
        <v>24</v>
      </c>
      <c r="K386" s="3" t="s">
        <v>25</v>
      </c>
      <c r="L386" s="3" t="s">
        <v>53</v>
      </c>
      <c r="M386" s="3" t="s">
        <v>171</v>
      </c>
      <c r="N386" s="3">
        <v>10</v>
      </c>
      <c r="O386" s="3">
        <v>0.1</v>
      </c>
      <c r="P386" s="3">
        <v>887.57</v>
      </c>
      <c r="Q386" s="3">
        <v>-51.01</v>
      </c>
    </row>
    <row r="387" spans="1:17" x14ac:dyDescent="0.3">
      <c r="A387" s="3">
        <v>383</v>
      </c>
      <c r="B387" s="3" t="s">
        <v>746</v>
      </c>
      <c r="C387" s="3" t="s">
        <v>1546</v>
      </c>
      <c r="D387" s="3" t="s">
        <v>1037</v>
      </c>
      <c r="E387" s="3" t="s">
        <v>19</v>
      </c>
      <c r="F387" s="3" t="s">
        <v>362</v>
      </c>
      <c r="G387" s="3" t="s">
        <v>30</v>
      </c>
      <c r="H387" s="3" t="s">
        <v>90</v>
      </c>
      <c r="I387" s="3" t="s">
        <v>169</v>
      </c>
      <c r="J387" s="3" t="s">
        <v>170</v>
      </c>
      <c r="K387" s="3" t="s">
        <v>25</v>
      </c>
      <c r="L387" s="3" t="s">
        <v>26</v>
      </c>
      <c r="M387" s="3" t="s">
        <v>259</v>
      </c>
      <c r="N387" s="3">
        <v>10</v>
      </c>
      <c r="O387" s="3">
        <v>0</v>
      </c>
      <c r="P387" s="3">
        <v>680.36</v>
      </c>
      <c r="Q387" s="3">
        <v>-85.76</v>
      </c>
    </row>
    <row r="388" spans="1:17" x14ac:dyDescent="0.3">
      <c r="A388" s="3">
        <v>384</v>
      </c>
      <c r="B388" s="3" t="s">
        <v>747</v>
      </c>
      <c r="C388" s="3" t="s">
        <v>1547</v>
      </c>
      <c r="D388" s="3" t="s">
        <v>1548</v>
      </c>
      <c r="E388" s="3" t="s">
        <v>62</v>
      </c>
      <c r="F388" s="3" t="s">
        <v>748</v>
      </c>
      <c r="G388" s="3" t="s">
        <v>21</v>
      </c>
      <c r="H388" s="3" t="s">
        <v>46</v>
      </c>
      <c r="I388" s="3" t="s">
        <v>47</v>
      </c>
      <c r="J388" s="3" t="s">
        <v>48</v>
      </c>
      <c r="K388" s="3" t="s">
        <v>25</v>
      </c>
      <c r="L388" s="3" t="s">
        <v>116</v>
      </c>
      <c r="M388" s="3" t="s">
        <v>166</v>
      </c>
      <c r="N388" s="3">
        <v>9</v>
      </c>
      <c r="O388" s="3">
        <v>0</v>
      </c>
      <c r="P388" s="3">
        <v>489.15</v>
      </c>
      <c r="Q388" s="3">
        <v>-113.78</v>
      </c>
    </row>
    <row r="389" spans="1:17" x14ac:dyDescent="0.3">
      <c r="A389" s="3">
        <v>385</v>
      </c>
      <c r="B389" s="3" t="s">
        <v>749</v>
      </c>
      <c r="C389" s="3" t="s">
        <v>1544</v>
      </c>
      <c r="D389" s="3" t="s">
        <v>985</v>
      </c>
      <c r="E389" s="3" t="s">
        <v>56</v>
      </c>
      <c r="F389" s="3" t="s">
        <v>618</v>
      </c>
      <c r="G389" s="3" t="s">
        <v>21</v>
      </c>
      <c r="H389" s="3" t="s">
        <v>90</v>
      </c>
      <c r="I389" s="3" t="s">
        <v>110</v>
      </c>
      <c r="J389" s="3" t="s">
        <v>111</v>
      </c>
      <c r="K389" s="3" t="s">
        <v>33</v>
      </c>
      <c r="L389" s="3" t="s">
        <v>34</v>
      </c>
      <c r="M389" s="3" t="s">
        <v>254</v>
      </c>
      <c r="N389" s="3">
        <v>14</v>
      </c>
      <c r="O389" s="3">
        <v>0</v>
      </c>
      <c r="P389" s="3">
        <v>2222.4899999999998</v>
      </c>
      <c r="Q389" s="3">
        <v>742.78</v>
      </c>
    </row>
    <row r="390" spans="1:17" x14ac:dyDescent="0.3">
      <c r="A390" s="3">
        <v>386</v>
      </c>
      <c r="B390" s="3" t="s">
        <v>750</v>
      </c>
      <c r="C390" s="3" t="s">
        <v>1549</v>
      </c>
      <c r="D390" s="3" t="s">
        <v>1550</v>
      </c>
      <c r="E390" s="3" t="s">
        <v>37</v>
      </c>
      <c r="F390" s="3" t="s">
        <v>353</v>
      </c>
      <c r="G390" s="3" t="s">
        <v>21</v>
      </c>
      <c r="H390" s="3" t="s">
        <v>22</v>
      </c>
      <c r="I390" s="3" t="s">
        <v>84</v>
      </c>
      <c r="J390" s="3" t="s">
        <v>85</v>
      </c>
      <c r="K390" s="3" t="s">
        <v>25</v>
      </c>
      <c r="L390" s="3" t="s">
        <v>53</v>
      </c>
      <c r="M390" s="3" t="s">
        <v>171</v>
      </c>
      <c r="N390" s="3">
        <v>4</v>
      </c>
      <c r="O390" s="3">
        <v>0</v>
      </c>
      <c r="P390" s="3">
        <v>455.2</v>
      </c>
      <c r="Q390" s="3">
        <v>121.38</v>
      </c>
    </row>
    <row r="391" spans="1:17" x14ac:dyDescent="0.3">
      <c r="A391" s="3">
        <v>387</v>
      </c>
      <c r="B391" s="3" t="s">
        <v>751</v>
      </c>
      <c r="C391" s="3" t="s">
        <v>1483</v>
      </c>
      <c r="D391" s="3" t="s">
        <v>1546</v>
      </c>
      <c r="E391" s="3" t="s">
        <v>62</v>
      </c>
      <c r="F391" s="3" t="s">
        <v>752</v>
      </c>
      <c r="G391" s="3" t="s">
        <v>21</v>
      </c>
      <c r="H391" s="3" t="s">
        <v>46</v>
      </c>
      <c r="I391" s="3" t="s">
        <v>146</v>
      </c>
      <c r="J391" s="3" t="s">
        <v>147</v>
      </c>
      <c r="K391" s="3" t="s">
        <v>25</v>
      </c>
      <c r="L391" s="3" t="s">
        <v>116</v>
      </c>
      <c r="M391" s="3" t="s">
        <v>166</v>
      </c>
      <c r="N391" s="3">
        <v>8</v>
      </c>
      <c r="O391" s="3">
        <v>0</v>
      </c>
      <c r="P391" s="3">
        <v>451.41</v>
      </c>
      <c r="Q391" s="3">
        <v>-36.4</v>
      </c>
    </row>
    <row r="392" spans="1:17" x14ac:dyDescent="0.3">
      <c r="A392" s="3">
        <v>388</v>
      </c>
      <c r="B392" s="3" t="s">
        <v>753</v>
      </c>
      <c r="C392" s="3" t="s">
        <v>1006</v>
      </c>
      <c r="D392" s="3" t="s">
        <v>1189</v>
      </c>
      <c r="E392" s="3" t="s">
        <v>56</v>
      </c>
      <c r="F392" s="3" t="s">
        <v>443</v>
      </c>
      <c r="G392" s="3" t="s">
        <v>30</v>
      </c>
      <c r="H392" s="3" t="s">
        <v>90</v>
      </c>
      <c r="I392" s="3" t="s">
        <v>169</v>
      </c>
      <c r="J392" s="3" t="s">
        <v>170</v>
      </c>
      <c r="K392" s="3" t="s">
        <v>25</v>
      </c>
      <c r="L392" s="3" t="s">
        <v>53</v>
      </c>
      <c r="M392" s="3" t="s">
        <v>139</v>
      </c>
      <c r="N392" s="3">
        <v>8</v>
      </c>
      <c r="O392" s="3">
        <v>0.3</v>
      </c>
      <c r="P392" s="3">
        <v>358.88</v>
      </c>
      <c r="Q392" s="3">
        <v>-38.35</v>
      </c>
    </row>
    <row r="393" spans="1:17" x14ac:dyDescent="0.3">
      <c r="A393" s="3">
        <v>389</v>
      </c>
      <c r="B393" s="3" t="s">
        <v>754</v>
      </c>
      <c r="C393" s="3" t="s">
        <v>1515</v>
      </c>
      <c r="D393" s="3" t="s">
        <v>1551</v>
      </c>
      <c r="E393" s="3" t="s">
        <v>56</v>
      </c>
      <c r="F393" s="3" t="s">
        <v>558</v>
      </c>
      <c r="G393" s="3" t="s">
        <v>21</v>
      </c>
      <c r="H393" s="3" t="s">
        <v>22</v>
      </c>
      <c r="I393" s="3" t="s">
        <v>72</v>
      </c>
      <c r="J393" s="3" t="s">
        <v>73</v>
      </c>
      <c r="K393" s="3" t="s">
        <v>33</v>
      </c>
      <c r="L393" s="3" t="s">
        <v>34</v>
      </c>
      <c r="M393" s="3" t="s">
        <v>597</v>
      </c>
      <c r="N393" s="3">
        <v>6</v>
      </c>
      <c r="O393" s="3">
        <v>0.1</v>
      </c>
      <c r="P393" s="3">
        <v>2284.67</v>
      </c>
      <c r="Q393" s="3">
        <v>-333.9</v>
      </c>
    </row>
    <row r="394" spans="1:17" x14ac:dyDescent="0.3">
      <c r="A394" s="3">
        <v>390</v>
      </c>
      <c r="B394" s="3" t="s">
        <v>755</v>
      </c>
      <c r="C394" s="3" t="s">
        <v>1170</v>
      </c>
      <c r="D394" s="3" t="s">
        <v>1552</v>
      </c>
      <c r="E394" s="3" t="s">
        <v>62</v>
      </c>
      <c r="F394" s="3" t="s">
        <v>756</v>
      </c>
      <c r="G394" s="3" t="s">
        <v>21</v>
      </c>
      <c r="H394" s="3" t="s">
        <v>46</v>
      </c>
      <c r="I394" s="3" t="s">
        <v>47</v>
      </c>
      <c r="J394" s="3" t="s">
        <v>48</v>
      </c>
      <c r="K394" s="3" t="s">
        <v>33</v>
      </c>
      <c r="L394" s="3" t="s">
        <v>34</v>
      </c>
      <c r="M394" s="3" t="s">
        <v>35</v>
      </c>
      <c r="N394" s="3">
        <v>2</v>
      </c>
      <c r="O394" s="3">
        <v>0.3</v>
      </c>
      <c r="P394" s="3">
        <v>780.46</v>
      </c>
      <c r="Q394" s="3">
        <v>-41.8</v>
      </c>
    </row>
    <row r="395" spans="1:17" x14ac:dyDescent="0.3">
      <c r="A395" s="3">
        <v>391</v>
      </c>
      <c r="B395" s="3" t="s">
        <v>757</v>
      </c>
      <c r="C395" s="3" t="s">
        <v>1553</v>
      </c>
      <c r="D395" s="3" t="s">
        <v>1554</v>
      </c>
      <c r="E395" s="3" t="s">
        <v>62</v>
      </c>
      <c r="F395" s="3" t="s">
        <v>182</v>
      </c>
      <c r="G395" s="3" t="s">
        <v>21</v>
      </c>
      <c r="H395" s="3" t="s">
        <v>40</v>
      </c>
      <c r="I395" s="3" t="s">
        <v>114</v>
      </c>
      <c r="J395" s="3" t="s">
        <v>115</v>
      </c>
      <c r="K395" s="3" t="s">
        <v>25</v>
      </c>
      <c r="L395" s="3" t="s">
        <v>106</v>
      </c>
      <c r="M395" s="3" t="s">
        <v>107</v>
      </c>
      <c r="N395" s="3">
        <v>8</v>
      </c>
      <c r="O395" s="3">
        <v>0.2</v>
      </c>
      <c r="P395" s="3">
        <v>188.67</v>
      </c>
      <c r="Q395" s="3">
        <v>-13.24</v>
      </c>
    </row>
    <row r="396" spans="1:17" x14ac:dyDescent="0.3">
      <c r="A396" s="3">
        <v>392</v>
      </c>
      <c r="B396" s="3" t="s">
        <v>758</v>
      </c>
      <c r="C396" s="3" t="s">
        <v>1555</v>
      </c>
      <c r="D396" s="3" t="s">
        <v>1556</v>
      </c>
      <c r="E396" s="3" t="s">
        <v>56</v>
      </c>
      <c r="F396" s="3" t="s">
        <v>759</v>
      </c>
      <c r="G396" s="3" t="s">
        <v>30</v>
      </c>
      <c r="H396" s="3" t="s">
        <v>90</v>
      </c>
      <c r="I396" s="3" t="s">
        <v>104</v>
      </c>
      <c r="J396" s="3" t="s">
        <v>105</v>
      </c>
      <c r="K396" s="3" t="s">
        <v>58</v>
      </c>
      <c r="L396" s="3" t="s">
        <v>59</v>
      </c>
      <c r="M396" s="3" t="s">
        <v>220</v>
      </c>
      <c r="N396" s="3">
        <v>1</v>
      </c>
      <c r="O396" s="3">
        <v>0.2</v>
      </c>
      <c r="P396" s="3">
        <v>338.94</v>
      </c>
      <c r="Q396" s="3">
        <v>-62.43</v>
      </c>
    </row>
    <row r="397" spans="1:17" x14ac:dyDescent="0.3">
      <c r="A397" s="3">
        <v>393</v>
      </c>
      <c r="B397" s="3" t="s">
        <v>760</v>
      </c>
      <c r="C397" s="3" t="s">
        <v>1557</v>
      </c>
      <c r="D397" s="3" t="s">
        <v>1558</v>
      </c>
      <c r="E397" s="3" t="s">
        <v>19</v>
      </c>
      <c r="F397" s="3" t="s">
        <v>549</v>
      </c>
      <c r="G397" s="3" t="s">
        <v>30</v>
      </c>
      <c r="H397" s="3" t="s">
        <v>46</v>
      </c>
      <c r="I397" s="3" t="s">
        <v>146</v>
      </c>
      <c r="J397" s="3" t="s">
        <v>147</v>
      </c>
      <c r="K397" s="3" t="s">
        <v>25</v>
      </c>
      <c r="L397" s="3" t="s">
        <v>74</v>
      </c>
      <c r="M397" s="3" t="s">
        <v>101</v>
      </c>
      <c r="N397" s="3">
        <v>3</v>
      </c>
      <c r="O397" s="3">
        <v>0.1</v>
      </c>
      <c r="P397" s="3">
        <v>168.88</v>
      </c>
      <c r="Q397" s="3">
        <v>14.06</v>
      </c>
    </row>
    <row r="398" spans="1:17" x14ac:dyDescent="0.3">
      <c r="A398" s="3">
        <v>394</v>
      </c>
      <c r="B398" s="3" t="s">
        <v>761</v>
      </c>
      <c r="C398" s="3" t="s">
        <v>1559</v>
      </c>
      <c r="D398" s="3" t="s">
        <v>1560</v>
      </c>
      <c r="E398" s="3" t="s">
        <v>19</v>
      </c>
      <c r="F398" s="3" t="s">
        <v>620</v>
      </c>
      <c r="G398" s="3" t="s">
        <v>30</v>
      </c>
      <c r="H398" s="3" t="s">
        <v>40</v>
      </c>
      <c r="I398" s="3" t="s">
        <v>158</v>
      </c>
      <c r="J398" s="3" t="s">
        <v>159</v>
      </c>
      <c r="K398" s="3" t="s">
        <v>33</v>
      </c>
      <c r="L398" s="3" t="s">
        <v>49</v>
      </c>
      <c r="M398" s="3" t="s">
        <v>208</v>
      </c>
      <c r="N398" s="3">
        <v>7</v>
      </c>
      <c r="O398" s="3">
        <v>0</v>
      </c>
      <c r="P398" s="3">
        <v>4781.76</v>
      </c>
      <c r="Q398" s="3">
        <v>-952.54</v>
      </c>
    </row>
    <row r="399" spans="1:17" x14ac:dyDescent="0.3">
      <c r="A399" s="3">
        <v>395</v>
      </c>
      <c r="B399" s="3" t="s">
        <v>762</v>
      </c>
      <c r="C399" s="3" t="s">
        <v>1561</v>
      </c>
      <c r="D399" s="3" t="s">
        <v>1455</v>
      </c>
      <c r="E399" s="3" t="s">
        <v>37</v>
      </c>
      <c r="F399" s="3" t="s">
        <v>763</v>
      </c>
      <c r="G399" s="3" t="s">
        <v>30</v>
      </c>
      <c r="H399" s="3" t="s">
        <v>90</v>
      </c>
      <c r="I399" s="3" t="s">
        <v>91</v>
      </c>
      <c r="J399" s="3" t="s">
        <v>92</v>
      </c>
      <c r="K399" s="3" t="s">
        <v>25</v>
      </c>
      <c r="L399" s="3" t="s">
        <v>74</v>
      </c>
      <c r="M399" s="3" t="s">
        <v>180</v>
      </c>
      <c r="N399" s="3">
        <v>3</v>
      </c>
      <c r="O399" s="3">
        <v>0</v>
      </c>
      <c r="P399" s="3">
        <v>156.37</v>
      </c>
      <c r="Q399" s="3">
        <v>15.13</v>
      </c>
    </row>
    <row r="400" spans="1:17" x14ac:dyDescent="0.3">
      <c r="A400" s="3">
        <v>396</v>
      </c>
      <c r="B400" s="3" t="s">
        <v>764</v>
      </c>
      <c r="C400" s="3" t="s">
        <v>1483</v>
      </c>
      <c r="D400" s="3" t="s">
        <v>1562</v>
      </c>
      <c r="E400" s="3" t="s">
        <v>62</v>
      </c>
      <c r="F400" s="3" t="s">
        <v>271</v>
      </c>
      <c r="G400" s="3" t="s">
        <v>21</v>
      </c>
      <c r="H400" s="3" t="s">
        <v>22</v>
      </c>
      <c r="I400" s="3" t="s">
        <v>23</v>
      </c>
      <c r="J400" s="3" t="s">
        <v>24</v>
      </c>
      <c r="K400" s="3" t="s">
        <v>25</v>
      </c>
      <c r="L400" s="3" t="s">
        <v>53</v>
      </c>
      <c r="M400" s="3" t="s">
        <v>54</v>
      </c>
      <c r="N400" s="3">
        <v>8</v>
      </c>
      <c r="O400" s="3">
        <v>0</v>
      </c>
      <c r="P400" s="3">
        <v>923.88</v>
      </c>
      <c r="Q400" s="3">
        <v>-152.21</v>
      </c>
    </row>
    <row r="401" spans="1:17" x14ac:dyDescent="0.3">
      <c r="A401" s="3">
        <v>397</v>
      </c>
      <c r="B401" s="3" t="s">
        <v>765</v>
      </c>
      <c r="C401" s="3" t="s">
        <v>1305</v>
      </c>
      <c r="D401" s="3" t="s">
        <v>1209</v>
      </c>
      <c r="E401" s="3" t="s">
        <v>56</v>
      </c>
      <c r="F401" s="3" t="s">
        <v>493</v>
      </c>
      <c r="G401" s="3" t="s">
        <v>30</v>
      </c>
      <c r="H401" s="3" t="s">
        <v>40</v>
      </c>
      <c r="I401" s="3" t="s">
        <v>185</v>
      </c>
      <c r="J401" s="3" t="s">
        <v>186</v>
      </c>
      <c r="K401" s="3" t="s">
        <v>25</v>
      </c>
      <c r="L401" s="3" t="s">
        <v>53</v>
      </c>
      <c r="M401" s="3" t="s">
        <v>171</v>
      </c>
      <c r="N401" s="3">
        <v>11</v>
      </c>
      <c r="O401" s="3">
        <v>0.15</v>
      </c>
      <c r="P401" s="3">
        <v>689.39</v>
      </c>
      <c r="Q401" s="3">
        <v>81.23</v>
      </c>
    </row>
    <row r="402" spans="1:17" x14ac:dyDescent="0.3">
      <c r="A402" s="3">
        <v>398</v>
      </c>
      <c r="B402" s="3" t="s">
        <v>766</v>
      </c>
      <c r="C402" s="3" t="s">
        <v>1536</v>
      </c>
      <c r="D402" s="3" t="s">
        <v>1384</v>
      </c>
      <c r="E402" s="3" t="s">
        <v>19</v>
      </c>
      <c r="F402" s="3" t="s">
        <v>767</v>
      </c>
      <c r="G402" s="3" t="s">
        <v>39</v>
      </c>
      <c r="H402" s="3" t="s">
        <v>90</v>
      </c>
      <c r="I402" s="3" t="s">
        <v>91</v>
      </c>
      <c r="J402" s="3" t="s">
        <v>92</v>
      </c>
      <c r="K402" s="3" t="s">
        <v>25</v>
      </c>
      <c r="L402" s="3" t="s">
        <v>74</v>
      </c>
      <c r="M402" s="3" t="s">
        <v>180</v>
      </c>
      <c r="N402" s="3">
        <v>3</v>
      </c>
      <c r="O402" s="3">
        <v>0.15</v>
      </c>
      <c r="P402" s="3">
        <v>17.670000000000002</v>
      </c>
      <c r="Q402" s="3">
        <v>3.29</v>
      </c>
    </row>
    <row r="403" spans="1:17" x14ac:dyDescent="0.3">
      <c r="A403" s="3">
        <v>399</v>
      </c>
      <c r="B403" s="3" t="s">
        <v>768</v>
      </c>
      <c r="C403" s="3" t="s">
        <v>1563</v>
      </c>
      <c r="D403" s="3" t="s">
        <v>1564</v>
      </c>
      <c r="E403" s="3" t="s">
        <v>62</v>
      </c>
      <c r="F403" s="3" t="s">
        <v>334</v>
      </c>
      <c r="G403" s="3" t="s">
        <v>21</v>
      </c>
      <c r="H403" s="3" t="s">
        <v>22</v>
      </c>
      <c r="I403" s="3" t="s">
        <v>72</v>
      </c>
      <c r="J403" s="3" t="s">
        <v>73</v>
      </c>
      <c r="K403" s="3" t="s">
        <v>58</v>
      </c>
      <c r="L403" s="3" t="s">
        <v>59</v>
      </c>
      <c r="M403" s="3" t="s">
        <v>220</v>
      </c>
      <c r="N403" s="3">
        <v>3</v>
      </c>
      <c r="O403" s="3">
        <v>0.15</v>
      </c>
      <c r="P403" s="3">
        <v>766.76</v>
      </c>
      <c r="Q403" s="3">
        <v>-75.73</v>
      </c>
    </row>
    <row r="404" spans="1:17" x14ac:dyDescent="0.3">
      <c r="A404" s="3">
        <v>400</v>
      </c>
      <c r="B404" s="3" t="s">
        <v>769</v>
      </c>
      <c r="C404" s="3" t="s">
        <v>1306</v>
      </c>
      <c r="D404" s="3" t="s">
        <v>1565</v>
      </c>
      <c r="E404" s="3" t="s">
        <v>19</v>
      </c>
      <c r="F404" s="3" t="s">
        <v>770</v>
      </c>
      <c r="G404" s="3" t="s">
        <v>21</v>
      </c>
      <c r="H404" s="3" t="s">
        <v>40</v>
      </c>
      <c r="I404" s="3" t="s">
        <v>223</v>
      </c>
      <c r="J404" s="3" t="s">
        <v>224</v>
      </c>
      <c r="K404" s="3" t="s">
        <v>25</v>
      </c>
      <c r="L404" s="3" t="s">
        <v>53</v>
      </c>
      <c r="M404" s="3" t="s">
        <v>54</v>
      </c>
      <c r="N404" s="3">
        <v>3</v>
      </c>
      <c r="O404" s="3">
        <v>0.1</v>
      </c>
      <c r="P404" s="3">
        <v>95.53</v>
      </c>
      <c r="Q404" s="3">
        <v>3.91</v>
      </c>
    </row>
    <row r="405" spans="1:17" x14ac:dyDescent="0.3">
      <c r="A405" s="3">
        <v>401</v>
      </c>
      <c r="B405" s="3" t="s">
        <v>771</v>
      </c>
      <c r="C405" s="3" t="s">
        <v>1566</v>
      </c>
      <c r="D405" s="3" t="s">
        <v>1567</v>
      </c>
      <c r="E405" s="3" t="s">
        <v>56</v>
      </c>
      <c r="F405" s="3" t="s">
        <v>245</v>
      </c>
      <c r="G405" s="3" t="s">
        <v>21</v>
      </c>
      <c r="H405" s="3" t="s">
        <v>90</v>
      </c>
      <c r="I405" s="3" t="s">
        <v>110</v>
      </c>
      <c r="J405" s="3" t="s">
        <v>111</v>
      </c>
      <c r="K405" s="3" t="s">
        <v>58</v>
      </c>
      <c r="L405" s="3" t="s">
        <v>86</v>
      </c>
      <c r="M405" s="3" t="s">
        <v>133</v>
      </c>
      <c r="N405" s="3">
        <v>11</v>
      </c>
      <c r="O405" s="3">
        <v>0.2</v>
      </c>
      <c r="P405" s="3">
        <v>1123.1600000000001</v>
      </c>
      <c r="Q405" s="3">
        <v>-244.18</v>
      </c>
    </row>
    <row r="406" spans="1:17" x14ac:dyDescent="0.3">
      <c r="A406" s="3">
        <v>402</v>
      </c>
      <c r="B406" s="3" t="s">
        <v>772</v>
      </c>
      <c r="C406" s="3" t="s">
        <v>1568</v>
      </c>
      <c r="D406" s="3" t="s">
        <v>1569</v>
      </c>
      <c r="E406" s="3" t="s">
        <v>56</v>
      </c>
      <c r="F406" s="3" t="s">
        <v>690</v>
      </c>
      <c r="G406" s="3" t="s">
        <v>30</v>
      </c>
      <c r="H406" s="3" t="s">
        <v>90</v>
      </c>
      <c r="I406" s="3" t="s">
        <v>110</v>
      </c>
      <c r="J406" s="3" t="s">
        <v>111</v>
      </c>
      <c r="K406" s="3" t="s">
        <v>25</v>
      </c>
      <c r="L406" s="3" t="s">
        <v>53</v>
      </c>
      <c r="M406" s="3" t="s">
        <v>171</v>
      </c>
      <c r="N406" s="3">
        <v>11</v>
      </c>
      <c r="O406" s="3">
        <v>0.4</v>
      </c>
      <c r="P406" s="3">
        <v>825.33</v>
      </c>
      <c r="Q406" s="3">
        <v>-76.28</v>
      </c>
    </row>
    <row r="407" spans="1:17" x14ac:dyDescent="0.3">
      <c r="A407" s="3">
        <v>403</v>
      </c>
      <c r="B407" s="3" t="s">
        <v>773</v>
      </c>
      <c r="C407" s="3" t="s">
        <v>1570</v>
      </c>
      <c r="D407" s="3" t="s">
        <v>1571</v>
      </c>
      <c r="E407" s="3" t="s">
        <v>62</v>
      </c>
      <c r="F407" s="3" t="s">
        <v>188</v>
      </c>
      <c r="G407" s="3" t="s">
        <v>30</v>
      </c>
      <c r="H407" s="3" t="s">
        <v>46</v>
      </c>
      <c r="I407" s="3" t="s">
        <v>47</v>
      </c>
      <c r="J407" s="3" t="s">
        <v>48</v>
      </c>
      <c r="K407" s="3" t="s">
        <v>25</v>
      </c>
      <c r="L407" s="3" t="s">
        <v>116</v>
      </c>
      <c r="M407" s="3" t="s">
        <v>202</v>
      </c>
      <c r="N407" s="3">
        <v>6</v>
      </c>
      <c r="O407" s="3">
        <v>0.3</v>
      </c>
      <c r="P407" s="3">
        <v>626.97</v>
      </c>
      <c r="Q407" s="3">
        <v>72.91</v>
      </c>
    </row>
    <row r="408" spans="1:17" x14ac:dyDescent="0.3">
      <c r="A408" s="3">
        <v>404</v>
      </c>
      <c r="B408" s="3" t="s">
        <v>774</v>
      </c>
      <c r="C408" s="3" t="s">
        <v>1572</v>
      </c>
      <c r="D408" s="3" t="s">
        <v>1297</v>
      </c>
      <c r="E408" s="3" t="s">
        <v>62</v>
      </c>
      <c r="F408" s="3" t="s">
        <v>775</v>
      </c>
      <c r="G408" s="3" t="s">
        <v>21</v>
      </c>
      <c r="H408" s="3" t="s">
        <v>46</v>
      </c>
      <c r="I408" s="3" t="s">
        <v>47</v>
      </c>
      <c r="J408" s="3" t="s">
        <v>48</v>
      </c>
      <c r="K408" s="3" t="s">
        <v>25</v>
      </c>
      <c r="L408" s="3" t="s">
        <v>53</v>
      </c>
      <c r="M408" s="3" t="s">
        <v>171</v>
      </c>
      <c r="N408" s="3">
        <v>11</v>
      </c>
      <c r="O408" s="3">
        <v>0.1</v>
      </c>
      <c r="P408" s="3">
        <v>762.58</v>
      </c>
      <c r="Q408" s="3">
        <v>47.26</v>
      </c>
    </row>
    <row r="409" spans="1:17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x14ac:dyDescent="0.3">
      <c r="A410" s="3">
        <v>405</v>
      </c>
      <c r="B410" s="3" t="s">
        <v>776</v>
      </c>
      <c r="C410" s="3" t="s">
        <v>1505</v>
      </c>
      <c r="D410" s="3" t="s">
        <v>1539</v>
      </c>
      <c r="E410" s="3" t="s">
        <v>62</v>
      </c>
      <c r="F410" s="3" t="s">
        <v>777</v>
      </c>
      <c r="G410" s="3" t="s">
        <v>21</v>
      </c>
      <c r="H410" s="3" t="s">
        <v>22</v>
      </c>
      <c r="I410" s="3" t="s">
        <v>23</v>
      </c>
      <c r="J410" s="3" t="s">
        <v>24</v>
      </c>
      <c r="K410" s="3" t="s">
        <v>25</v>
      </c>
      <c r="L410" s="3" t="s">
        <v>80</v>
      </c>
      <c r="M410" s="3" t="s">
        <v>81</v>
      </c>
      <c r="N410" s="3">
        <v>6</v>
      </c>
      <c r="O410" s="3">
        <v>0.15</v>
      </c>
      <c r="P410" s="3">
        <v>159.82</v>
      </c>
      <c r="Q410" s="3">
        <v>-15.8</v>
      </c>
    </row>
    <row r="411" spans="1:17" x14ac:dyDescent="0.3">
      <c r="A411" s="3">
        <v>406</v>
      </c>
      <c r="B411" s="3" t="s">
        <v>778</v>
      </c>
      <c r="C411" s="3" t="s">
        <v>1573</v>
      </c>
      <c r="D411" s="3" t="s">
        <v>1046</v>
      </c>
      <c r="E411" s="3" t="s">
        <v>62</v>
      </c>
      <c r="F411" s="3" t="s">
        <v>779</v>
      </c>
      <c r="G411" s="3" t="s">
        <v>30</v>
      </c>
      <c r="H411" s="3" t="s">
        <v>40</v>
      </c>
      <c r="I411" s="3" t="s">
        <v>223</v>
      </c>
      <c r="J411" s="3" t="s">
        <v>224</v>
      </c>
      <c r="K411" s="3" t="s">
        <v>25</v>
      </c>
      <c r="L411" s="3" t="s">
        <v>53</v>
      </c>
      <c r="M411" s="3" t="s">
        <v>139</v>
      </c>
      <c r="N411" s="3">
        <v>10</v>
      </c>
      <c r="O411" s="3">
        <v>0</v>
      </c>
      <c r="P411" s="3">
        <v>173.29</v>
      </c>
      <c r="Q411" s="3">
        <v>49.84</v>
      </c>
    </row>
    <row r="412" spans="1:17" x14ac:dyDescent="0.3">
      <c r="A412" s="3">
        <v>407</v>
      </c>
      <c r="B412" s="3" t="s">
        <v>780</v>
      </c>
      <c r="C412" s="3" t="s">
        <v>1574</v>
      </c>
      <c r="D412" s="3" t="s">
        <v>1575</v>
      </c>
      <c r="E412" s="3" t="s">
        <v>37</v>
      </c>
      <c r="F412" s="3" t="s">
        <v>781</v>
      </c>
      <c r="G412" s="3" t="s">
        <v>21</v>
      </c>
      <c r="H412" s="3" t="s">
        <v>90</v>
      </c>
      <c r="I412" s="3" t="s">
        <v>99</v>
      </c>
      <c r="J412" s="3" t="s">
        <v>100</v>
      </c>
      <c r="K412" s="3" t="s">
        <v>25</v>
      </c>
      <c r="L412" s="3" t="s">
        <v>53</v>
      </c>
      <c r="M412" s="3" t="s">
        <v>171</v>
      </c>
      <c r="N412" s="3">
        <v>3</v>
      </c>
      <c r="O412" s="3">
        <v>0.15</v>
      </c>
      <c r="P412" s="3">
        <v>269.67</v>
      </c>
      <c r="Q412" s="3">
        <v>58.32</v>
      </c>
    </row>
    <row r="413" spans="1:17" x14ac:dyDescent="0.3">
      <c r="A413" s="3">
        <v>408</v>
      </c>
      <c r="B413" s="3" t="s">
        <v>782</v>
      </c>
      <c r="C413" s="3" t="s">
        <v>1576</v>
      </c>
      <c r="D413" s="3" t="s">
        <v>1577</v>
      </c>
      <c r="E413" s="3" t="s">
        <v>62</v>
      </c>
      <c r="F413" s="3" t="s">
        <v>783</v>
      </c>
      <c r="G413" s="3" t="s">
        <v>39</v>
      </c>
      <c r="H413" s="3" t="s">
        <v>46</v>
      </c>
      <c r="I413" s="3" t="s">
        <v>78</v>
      </c>
      <c r="J413" s="3" t="s">
        <v>79</v>
      </c>
      <c r="K413" s="3" t="s">
        <v>25</v>
      </c>
      <c r="L413" s="3" t="s">
        <v>74</v>
      </c>
      <c r="M413" s="3" t="s">
        <v>75</v>
      </c>
      <c r="N413" s="3">
        <v>3</v>
      </c>
      <c r="O413" s="3">
        <v>0</v>
      </c>
      <c r="P413" s="3">
        <v>234.5</v>
      </c>
      <c r="Q413" s="3">
        <v>-38.380000000000003</v>
      </c>
    </row>
    <row r="414" spans="1:17" x14ac:dyDescent="0.3">
      <c r="A414" s="3">
        <v>409</v>
      </c>
      <c r="B414" s="3" t="s">
        <v>784</v>
      </c>
      <c r="C414" s="3" t="s">
        <v>1578</v>
      </c>
      <c r="D414" s="3" t="s">
        <v>1240</v>
      </c>
      <c r="E414" s="3" t="s">
        <v>56</v>
      </c>
      <c r="F414" s="3" t="s">
        <v>785</v>
      </c>
      <c r="G414" s="3" t="s">
        <v>39</v>
      </c>
      <c r="H414" s="3" t="s">
        <v>90</v>
      </c>
      <c r="I414" s="3" t="s">
        <v>99</v>
      </c>
      <c r="J414" s="3" t="s">
        <v>100</v>
      </c>
      <c r="K414" s="3" t="s">
        <v>33</v>
      </c>
      <c r="L414" s="3" t="s">
        <v>49</v>
      </c>
      <c r="M414" s="3" t="s">
        <v>50</v>
      </c>
      <c r="N414" s="3">
        <v>5</v>
      </c>
      <c r="O414" s="3">
        <v>0</v>
      </c>
      <c r="P414" s="3">
        <v>2748.18</v>
      </c>
      <c r="Q414" s="3">
        <v>791.22</v>
      </c>
    </row>
    <row r="415" spans="1:17" x14ac:dyDescent="0.3">
      <c r="A415" s="3">
        <v>410</v>
      </c>
      <c r="B415" s="3" t="s">
        <v>786</v>
      </c>
      <c r="C415" s="3" t="s">
        <v>975</v>
      </c>
      <c r="D415" s="3" t="s">
        <v>1579</v>
      </c>
      <c r="E415" s="3" t="s">
        <v>62</v>
      </c>
      <c r="F415" s="3" t="s">
        <v>261</v>
      </c>
      <c r="G415" s="3" t="s">
        <v>21</v>
      </c>
      <c r="H415" s="3" t="s">
        <v>46</v>
      </c>
      <c r="I415" s="3" t="s">
        <v>78</v>
      </c>
      <c r="J415" s="3" t="s">
        <v>79</v>
      </c>
      <c r="K415" s="3" t="s">
        <v>25</v>
      </c>
      <c r="L415" s="3" t="s">
        <v>74</v>
      </c>
      <c r="M415" s="3" t="s">
        <v>101</v>
      </c>
      <c r="N415" s="3">
        <v>12</v>
      </c>
      <c r="O415" s="3">
        <v>0.4</v>
      </c>
      <c r="P415" s="3">
        <v>1192.32</v>
      </c>
      <c r="Q415" s="3">
        <v>43.98</v>
      </c>
    </row>
    <row r="416" spans="1:17" x14ac:dyDescent="0.3">
      <c r="A416" s="3">
        <v>411</v>
      </c>
      <c r="B416" s="3" t="s">
        <v>787</v>
      </c>
      <c r="C416" s="3" t="s">
        <v>1580</v>
      </c>
      <c r="D416" s="3" t="s">
        <v>1581</v>
      </c>
      <c r="E416" s="3" t="s">
        <v>19</v>
      </c>
      <c r="F416" s="3" t="s">
        <v>567</v>
      </c>
      <c r="G416" s="3" t="s">
        <v>30</v>
      </c>
      <c r="H416" s="3" t="s">
        <v>90</v>
      </c>
      <c r="I416" s="3" t="s">
        <v>110</v>
      </c>
      <c r="J416" s="3" t="s">
        <v>111</v>
      </c>
      <c r="K416" s="3" t="s">
        <v>33</v>
      </c>
      <c r="L416" s="3" t="s">
        <v>64</v>
      </c>
      <c r="M416" s="3" t="s">
        <v>269</v>
      </c>
      <c r="N416" s="3">
        <v>7</v>
      </c>
      <c r="O416" s="3">
        <v>0</v>
      </c>
      <c r="P416" s="3">
        <v>435.79</v>
      </c>
      <c r="Q416" s="3">
        <v>-13.42</v>
      </c>
    </row>
    <row r="417" spans="1:17" x14ac:dyDescent="0.3">
      <c r="A417" s="3">
        <v>412</v>
      </c>
      <c r="B417" s="3" t="s">
        <v>788</v>
      </c>
      <c r="C417" s="3" t="s">
        <v>1402</v>
      </c>
      <c r="D417" s="3" t="s">
        <v>1006</v>
      </c>
      <c r="E417" s="3" t="s">
        <v>19</v>
      </c>
      <c r="F417" s="3" t="s">
        <v>338</v>
      </c>
      <c r="G417" s="3" t="s">
        <v>21</v>
      </c>
      <c r="H417" s="3" t="s">
        <v>40</v>
      </c>
      <c r="I417" s="3" t="s">
        <v>223</v>
      </c>
      <c r="J417" s="3" t="s">
        <v>224</v>
      </c>
      <c r="K417" s="3" t="s">
        <v>33</v>
      </c>
      <c r="L417" s="3" t="s">
        <v>34</v>
      </c>
      <c r="M417" s="3" t="s">
        <v>35</v>
      </c>
      <c r="N417" s="3">
        <v>7</v>
      </c>
      <c r="O417" s="3">
        <v>0.2</v>
      </c>
      <c r="P417" s="3">
        <v>4146.13</v>
      </c>
      <c r="Q417" s="3">
        <v>173.73</v>
      </c>
    </row>
    <row r="418" spans="1:17" x14ac:dyDescent="0.3">
      <c r="A418" s="3">
        <v>413</v>
      </c>
      <c r="B418" s="3" t="s">
        <v>789</v>
      </c>
      <c r="C418" s="3" t="s">
        <v>1582</v>
      </c>
      <c r="D418" s="3" t="s">
        <v>1583</v>
      </c>
      <c r="E418" s="3" t="s">
        <v>37</v>
      </c>
      <c r="F418" s="3" t="s">
        <v>790</v>
      </c>
      <c r="G418" s="3" t="s">
        <v>21</v>
      </c>
      <c r="H418" s="3" t="s">
        <v>22</v>
      </c>
      <c r="I418" s="3" t="s">
        <v>31</v>
      </c>
      <c r="J418" s="3" t="s">
        <v>32</v>
      </c>
      <c r="K418" s="3" t="s">
        <v>25</v>
      </c>
      <c r="L418" s="3" t="s">
        <v>74</v>
      </c>
      <c r="M418" s="3" t="s">
        <v>75</v>
      </c>
      <c r="N418" s="3">
        <v>5</v>
      </c>
      <c r="O418" s="3">
        <v>0.4</v>
      </c>
      <c r="P418" s="3">
        <v>268.24</v>
      </c>
      <c r="Q418" s="3">
        <v>88.5</v>
      </c>
    </row>
    <row r="419" spans="1:17" x14ac:dyDescent="0.3">
      <c r="A419" s="3">
        <v>414</v>
      </c>
      <c r="B419" s="3" t="s">
        <v>791</v>
      </c>
      <c r="C419" s="3" t="s">
        <v>1246</v>
      </c>
      <c r="D419" s="3" t="s">
        <v>1584</v>
      </c>
      <c r="E419" s="3" t="s">
        <v>19</v>
      </c>
      <c r="F419" s="3" t="s">
        <v>633</v>
      </c>
      <c r="G419" s="3" t="s">
        <v>21</v>
      </c>
      <c r="H419" s="3" t="s">
        <v>22</v>
      </c>
      <c r="I419" s="3" t="s">
        <v>84</v>
      </c>
      <c r="J419" s="3" t="s">
        <v>85</v>
      </c>
      <c r="K419" s="3" t="s">
        <v>33</v>
      </c>
      <c r="L419" s="3" t="s">
        <v>34</v>
      </c>
      <c r="M419" s="3" t="s">
        <v>35</v>
      </c>
      <c r="N419" s="3">
        <v>2</v>
      </c>
      <c r="O419" s="3">
        <v>0</v>
      </c>
      <c r="P419" s="3">
        <v>99.78</v>
      </c>
      <c r="Q419" s="3">
        <v>4.32</v>
      </c>
    </row>
    <row r="420" spans="1:17" x14ac:dyDescent="0.3">
      <c r="A420" s="3">
        <v>415</v>
      </c>
      <c r="B420" s="3" t="s">
        <v>792</v>
      </c>
      <c r="C420" s="3" t="s">
        <v>1585</v>
      </c>
      <c r="D420" s="3" t="s">
        <v>1586</v>
      </c>
      <c r="E420" s="3" t="s">
        <v>19</v>
      </c>
      <c r="F420" s="3" t="s">
        <v>793</v>
      </c>
      <c r="G420" s="3" t="s">
        <v>39</v>
      </c>
      <c r="H420" s="3" t="s">
        <v>40</v>
      </c>
      <c r="I420" s="3" t="s">
        <v>158</v>
      </c>
      <c r="J420" s="3" t="s">
        <v>159</v>
      </c>
      <c r="K420" s="3" t="s">
        <v>33</v>
      </c>
      <c r="L420" s="3" t="s">
        <v>49</v>
      </c>
      <c r="M420" s="3" t="s">
        <v>286</v>
      </c>
      <c r="N420" s="3">
        <v>10</v>
      </c>
      <c r="O420" s="3">
        <v>0</v>
      </c>
      <c r="P420" s="3">
        <v>1402.15</v>
      </c>
      <c r="Q420" s="3">
        <v>337.47</v>
      </c>
    </row>
    <row r="421" spans="1:17" x14ac:dyDescent="0.3">
      <c r="A421" s="3">
        <v>416</v>
      </c>
      <c r="B421" s="3" t="s">
        <v>794</v>
      </c>
      <c r="C421" s="3" t="s">
        <v>1587</v>
      </c>
      <c r="D421" s="3" t="s">
        <v>1588</v>
      </c>
      <c r="E421" s="3" t="s">
        <v>37</v>
      </c>
      <c r="F421" s="3" t="s">
        <v>575</v>
      </c>
      <c r="G421" s="3" t="s">
        <v>21</v>
      </c>
      <c r="H421" s="3" t="s">
        <v>22</v>
      </c>
      <c r="I421" s="3" t="s">
        <v>68</v>
      </c>
      <c r="J421" s="3" t="s">
        <v>69</v>
      </c>
      <c r="K421" s="3" t="s">
        <v>25</v>
      </c>
      <c r="L421" s="3" t="s">
        <v>53</v>
      </c>
      <c r="M421" s="3" t="s">
        <v>171</v>
      </c>
      <c r="N421" s="3">
        <v>2</v>
      </c>
      <c r="O421" s="3">
        <v>0</v>
      </c>
      <c r="P421" s="3">
        <v>234.3</v>
      </c>
      <c r="Q421" s="3">
        <v>-13.37</v>
      </c>
    </row>
    <row r="422" spans="1:17" x14ac:dyDescent="0.3">
      <c r="A422" s="3">
        <v>417</v>
      </c>
      <c r="B422" s="3" t="s">
        <v>795</v>
      </c>
      <c r="C422" s="3" t="s">
        <v>1589</v>
      </c>
      <c r="D422" s="3" t="s">
        <v>1590</v>
      </c>
      <c r="E422" s="3" t="s">
        <v>56</v>
      </c>
      <c r="F422" s="3" t="s">
        <v>466</v>
      </c>
      <c r="G422" s="3" t="s">
        <v>39</v>
      </c>
      <c r="H422" s="3" t="s">
        <v>22</v>
      </c>
      <c r="I422" s="3" t="s">
        <v>23</v>
      </c>
      <c r="J422" s="3" t="s">
        <v>24</v>
      </c>
      <c r="K422" s="3" t="s">
        <v>25</v>
      </c>
      <c r="L422" s="3" t="s">
        <v>74</v>
      </c>
      <c r="M422" s="3" t="s">
        <v>75</v>
      </c>
      <c r="N422" s="3">
        <v>9</v>
      </c>
      <c r="O422" s="3">
        <v>0.1</v>
      </c>
      <c r="P422" s="3">
        <v>187.44</v>
      </c>
      <c r="Q422" s="3">
        <v>57.25</v>
      </c>
    </row>
    <row r="423" spans="1:17" x14ac:dyDescent="0.3">
      <c r="A423" s="3">
        <v>418</v>
      </c>
      <c r="B423" s="3" t="s">
        <v>796</v>
      </c>
      <c r="C423" s="3" t="s">
        <v>1591</v>
      </c>
      <c r="D423" s="3" t="s">
        <v>1592</v>
      </c>
      <c r="E423" s="3" t="s">
        <v>37</v>
      </c>
      <c r="F423" s="3" t="s">
        <v>797</v>
      </c>
      <c r="G423" s="3" t="s">
        <v>21</v>
      </c>
      <c r="H423" s="3" t="s">
        <v>40</v>
      </c>
      <c r="I423" s="3" t="s">
        <v>158</v>
      </c>
      <c r="J423" s="3" t="s">
        <v>159</v>
      </c>
      <c r="K423" s="3" t="s">
        <v>58</v>
      </c>
      <c r="L423" s="3" t="s">
        <v>59</v>
      </c>
      <c r="M423" s="3" t="s">
        <v>60</v>
      </c>
      <c r="N423" s="3">
        <v>2</v>
      </c>
      <c r="O423" s="3">
        <v>0.15</v>
      </c>
      <c r="P423" s="3">
        <v>691.74</v>
      </c>
      <c r="Q423" s="3">
        <v>-0.18</v>
      </c>
    </row>
    <row r="424" spans="1:17" x14ac:dyDescent="0.3">
      <c r="A424" s="3">
        <v>419</v>
      </c>
      <c r="B424" s="3" t="s">
        <v>798</v>
      </c>
      <c r="C424" s="3" t="s">
        <v>1593</v>
      </c>
      <c r="D424" s="3" t="s">
        <v>1594</v>
      </c>
      <c r="E424" s="3" t="s">
        <v>62</v>
      </c>
      <c r="F424" s="3" t="s">
        <v>132</v>
      </c>
      <c r="G424" s="3" t="s">
        <v>30</v>
      </c>
      <c r="H424" s="3" t="s">
        <v>90</v>
      </c>
      <c r="I424" s="3" t="s">
        <v>110</v>
      </c>
      <c r="J424" s="3" t="s">
        <v>111</v>
      </c>
      <c r="K424" s="3" t="s">
        <v>25</v>
      </c>
      <c r="L424" s="3" t="s">
        <v>26</v>
      </c>
      <c r="M424" s="3" t="s">
        <v>155</v>
      </c>
      <c r="N424" s="3">
        <v>10</v>
      </c>
      <c r="O424" s="3">
        <v>0.4</v>
      </c>
      <c r="P424" s="3">
        <v>204.51</v>
      </c>
      <c r="Q424" s="3">
        <v>23.97</v>
      </c>
    </row>
    <row r="425" spans="1:17" x14ac:dyDescent="0.3">
      <c r="A425" s="3">
        <v>420</v>
      </c>
      <c r="B425" s="3" t="s">
        <v>799</v>
      </c>
      <c r="C425" s="3" t="s">
        <v>1500</v>
      </c>
      <c r="D425" s="3" t="s">
        <v>965</v>
      </c>
      <c r="E425" s="3" t="s">
        <v>56</v>
      </c>
      <c r="F425" s="3" t="s">
        <v>800</v>
      </c>
      <c r="G425" s="3" t="s">
        <v>39</v>
      </c>
      <c r="H425" s="3" t="s">
        <v>40</v>
      </c>
      <c r="I425" s="3" t="s">
        <v>114</v>
      </c>
      <c r="J425" s="3" t="s">
        <v>115</v>
      </c>
      <c r="K425" s="3" t="s">
        <v>33</v>
      </c>
      <c r="L425" s="3" t="s">
        <v>49</v>
      </c>
      <c r="M425" s="3" t="s">
        <v>286</v>
      </c>
      <c r="N425" s="3">
        <v>4</v>
      </c>
      <c r="O425" s="3">
        <v>0.1</v>
      </c>
      <c r="P425" s="3">
        <v>1312.78</v>
      </c>
      <c r="Q425" s="3">
        <v>-110.46</v>
      </c>
    </row>
    <row r="426" spans="1:17" x14ac:dyDescent="0.3">
      <c r="A426" s="3">
        <v>421</v>
      </c>
      <c r="B426" s="3" t="s">
        <v>801</v>
      </c>
      <c r="C426" s="3" t="s">
        <v>1595</v>
      </c>
      <c r="D426" s="3" t="s">
        <v>1596</v>
      </c>
      <c r="E426" s="3" t="s">
        <v>62</v>
      </c>
      <c r="F426" s="3" t="s">
        <v>377</v>
      </c>
      <c r="G426" s="3" t="s">
        <v>39</v>
      </c>
      <c r="H426" s="3" t="s">
        <v>90</v>
      </c>
      <c r="I426" s="3" t="s">
        <v>104</v>
      </c>
      <c r="J426" s="3" t="s">
        <v>105</v>
      </c>
      <c r="K426" s="3" t="s">
        <v>33</v>
      </c>
      <c r="L426" s="3" t="s">
        <v>49</v>
      </c>
      <c r="M426" s="3" t="s">
        <v>50</v>
      </c>
      <c r="N426" s="3">
        <v>5</v>
      </c>
      <c r="O426" s="3">
        <v>0.15</v>
      </c>
      <c r="P426" s="3">
        <v>794.91</v>
      </c>
      <c r="Q426" s="3">
        <v>-39.29</v>
      </c>
    </row>
    <row r="427" spans="1:17" x14ac:dyDescent="0.3">
      <c r="A427" s="3">
        <v>422</v>
      </c>
      <c r="B427" s="3" t="s">
        <v>802</v>
      </c>
      <c r="C427" s="3" t="s">
        <v>1597</v>
      </c>
      <c r="D427" s="3" t="s">
        <v>1598</v>
      </c>
      <c r="E427" s="3" t="s">
        <v>19</v>
      </c>
      <c r="F427" s="3" t="s">
        <v>294</v>
      </c>
      <c r="G427" s="3" t="s">
        <v>30</v>
      </c>
      <c r="H427" s="3" t="s">
        <v>40</v>
      </c>
      <c r="I427" s="3" t="s">
        <v>114</v>
      </c>
      <c r="J427" s="3" t="s">
        <v>115</v>
      </c>
      <c r="K427" s="3" t="s">
        <v>58</v>
      </c>
      <c r="L427" s="3" t="s">
        <v>217</v>
      </c>
      <c r="M427" s="3" t="s">
        <v>232</v>
      </c>
      <c r="N427" s="3">
        <v>12</v>
      </c>
      <c r="O427" s="3">
        <v>0.2</v>
      </c>
      <c r="P427" s="3">
        <v>2696.66</v>
      </c>
      <c r="Q427" s="3">
        <v>3.88</v>
      </c>
    </row>
    <row r="428" spans="1:17" x14ac:dyDescent="0.3">
      <c r="A428" s="3">
        <v>423</v>
      </c>
      <c r="B428" s="3" t="s">
        <v>803</v>
      </c>
      <c r="C428" s="3" t="s">
        <v>1599</v>
      </c>
      <c r="D428" s="3" t="s">
        <v>1600</v>
      </c>
      <c r="E428" s="3" t="s">
        <v>19</v>
      </c>
      <c r="F428" s="3" t="s">
        <v>783</v>
      </c>
      <c r="G428" s="3" t="s">
        <v>30</v>
      </c>
      <c r="H428" s="3" t="s">
        <v>22</v>
      </c>
      <c r="I428" s="3" t="s">
        <v>68</v>
      </c>
      <c r="J428" s="3" t="s">
        <v>69</v>
      </c>
      <c r="K428" s="3" t="s">
        <v>25</v>
      </c>
      <c r="L428" s="3" t="s">
        <v>26</v>
      </c>
      <c r="M428" s="3" t="s">
        <v>259</v>
      </c>
      <c r="N428" s="3">
        <v>8</v>
      </c>
      <c r="O428" s="3">
        <v>0</v>
      </c>
      <c r="P428" s="3">
        <v>568.33000000000004</v>
      </c>
      <c r="Q428" s="3">
        <v>161.57</v>
      </c>
    </row>
    <row r="429" spans="1:17" x14ac:dyDescent="0.3">
      <c r="A429" s="3">
        <v>424</v>
      </c>
      <c r="B429" s="3" t="s">
        <v>804</v>
      </c>
      <c r="C429" s="3" t="s">
        <v>1468</v>
      </c>
      <c r="D429" s="3" t="s">
        <v>1223</v>
      </c>
      <c r="E429" s="3" t="s">
        <v>19</v>
      </c>
      <c r="F429" s="3" t="s">
        <v>434</v>
      </c>
      <c r="G429" s="3" t="s">
        <v>30</v>
      </c>
      <c r="H429" s="3" t="s">
        <v>90</v>
      </c>
      <c r="I429" s="3" t="s">
        <v>99</v>
      </c>
      <c r="J429" s="3" t="s">
        <v>100</v>
      </c>
      <c r="K429" s="3" t="s">
        <v>33</v>
      </c>
      <c r="L429" s="3" t="s">
        <v>95</v>
      </c>
      <c r="M429" s="3" t="s">
        <v>96</v>
      </c>
      <c r="N429" s="3">
        <v>6</v>
      </c>
      <c r="O429" s="3">
        <v>0</v>
      </c>
      <c r="P429" s="3">
        <v>665.21</v>
      </c>
      <c r="Q429" s="3">
        <v>-54.31</v>
      </c>
    </row>
    <row r="430" spans="1:17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x14ac:dyDescent="0.3">
      <c r="A431" s="3">
        <v>425</v>
      </c>
      <c r="B431" s="3" t="s">
        <v>805</v>
      </c>
      <c r="C431" s="3" t="s">
        <v>1601</v>
      </c>
      <c r="D431" s="3" t="s">
        <v>1602</v>
      </c>
      <c r="E431" s="3" t="s">
        <v>56</v>
      </c>
      <c r="F431" s="3" t="s">
        <v>351</v>
      </c>
      <c r="G431" s="3" t="s">
        <v>30</v>
      </c>
      <c r="H431" s="3" t="s">
        <v>46</v>
      </c>
      <c r="I431" s="3" t="s">
        <v>78</v>
      </c>
      <c r="J431" s="3" t="s">
        <v>79</v>
      </c>
      <c r="K431" s="3" t="s">
        <v>58</v>
      </c>
      <c r="L431" s="3" t="s">
        <v>86</v>
      </c>
      <c r="M431" s="3" t="s">
        <v>133</v>
      </c>
      <c r="N431" s="3">
        <v>10</v>
      </c>
      <c r="O431" s="3">
        <v>0.1</v>
      </c>
      <c r="P431" s="3">
        <v>4713.8500000000004</v>
      </c>
      <c r="Q431" s="3">
        <v>-933.89</v>
      </c>
    </row>
    <row r="432" spans="1:17" x14ac:dyDescent="0.3">
      <c r="A432" s="3">
        <v>426</v>
      </c>
      <c r="B432" s="3" t="s">
        <v>806</v>
      </c>
      <c r="C432" s="3" t="s">
        <v>1159</v>
      </c>
      <c r="D432" s="3" t="s">
        <v>1362</v>
      </c>
      <c r="E432" s="3" t="s">
        <v>56</v>
      </c>
      <c r="F432" s="3" t="s">
        <v>807</v>
      </c>
      <c r="G432" s="3" t="s">
        <v>21</v>
      </c>
      <c r="H432" s="3" t="s">
        <v>46</v>
      </c>
      <c r="I432" s="3" t="s">
        <v>257</v>
      </c>
      <c r="J432" s="3" t="s">
        <v>258</v>
      </c>
      <c r="K432" s="3" t="s">
        <v>25</v>
      </c>
      <c r="L432" s="3" t="s">
        <v>53</v>
      </c>
      <c r="M432" s="3" t="s">
        <v>139</v>
      </c>
      <c r="N432" s="3">
        <v>7</v>
      </c>
      <c r="O432" s="3">
        <v>0</v>
      </c>
      <c r="P432" s="3">
        <v>492.64</v>
      </c>
      <c r="Q432" s="3">
        <v>146.93</v>
      </c>
    </row>
    <row r="433" spans="1:17" x14ac:dyDescent="0.3">
      <c r="A433" s="3">
        <v>427</v>
      </c>
      <c r="B433" s="3" t="s">
        <v>1603</v>
      </c>
      <c r="C433" s="3" t="s">
        <v>1604</v>
      </c>
      <c r="D433" s="3" t="s">
        <v>1605</v>
      </c>
      <c r="E433" s="3" t="s">
        <v>37</v>
      </c>
      <c r="F433" s="3" t="s">
        <v>338</v>
      </c>
      <c r="G433" s="3" t="s">
        <v>30</v>
      </c>
      <c r="H433" s="3" t="s">
        <v>22</v>
      </c>
      <c r="I433" s="3" t="s">
        <v>84</v>
      </c>
      <c r="J433" s="3" t="s">
        <v>85</v>
      </c>
      <c r="K433" s="3" t="s">
        <v>25</v>
      </c>
      <c r="L433" s="3" t="s">
        <v>74</v>
      </c>
      <c r="M433" s="3" t="s">
        <v>101</v>
      </c>
      <c r="N433" s="3">
        <v>8</v>
      </c>
      <c r="O433" s="3">
        <v>0</v>
      </c>
      <c r="P433" s="3"/>
      <c r="Q433" s="3">
        <v>40.32</v>
      </c>
    </row>
    <row r="434" spans="1:17" x14ac:dyDescent="0.3">
      <c r="A434" s="3">
        <v>428</v>
      </c>
      <c r="B434" s="3" t="s">
        <v>808</v>
      </c>
      <c r="C434" s="3" t="s">
        <v>1606</v>
      </c>
      <c r="D434" s="3" t="s">
        <v>1607</v>
      </c>
      <c r="E434" s="3" t="s">
        <v>37</v>
      </c>
      <c r="F434" s="3" t="s">
        <v>288</v>
      </c>
      <c r="G434" s="3" t="s">
        <v>21</v>
      </c>
      <c r="H434" s="3" t="s">
        <v>40</v>
      </c>
      <c r="I434" s="3" t="s">
        <v>158</v>
      </c>
      <c r="J434" s="3" t="s">
        <v>159</v>
      </c>
      <c r="K434" s="3" t="s">
        <v>33</v>
      </c>
      <c r="L434" s="3" t="s">
        <v>64</v>
      </c>
      <c r="M434" s="3" t="s">
        <v>126</v>
      </c>
      <c r="N434" s="3">
        <v>14</v>
      </c>
      <c r="O434" s="3">
        <v>0</v>
      </c>
      <c r="P434" s="3">
        <v>5740.1</v>
      </c>
      <c r="Q434" s="3">
        <v>1927.83</v>
      </c>
    </row>
    <row r="435" spans="1:17" x14ac:dyDescent="0.3">
      <c r="A435" s="3">
        <v>429</v>
      </c>
      <c r="B435" s="3" t="s">
        <v>809</v>
      </c>
      <c r="C435" s="3" t="s">
        <v>1191</v>
      </c>
      <c r="D435" s="3" t="s">
        <v>1594</v>
      </c>
      <c r="E435" s="3" t="s">
        <v>62</v>
      </c>
      <c r="F435" s="3" t="s">
        <v>569</v>
      </c>
      <c r="G435" s="3" t="s">
        <v>30</v>
      </c>
      <c r="H435" s="3" t="s">
        <v>90</v>
      </c>
      <c r="I435" s="3" t="s">
        <v>169</v>
      </c>
      <c r="J435" s="3" t="s">
        <v>170</v>
      </c>
      <c r="K435" s="3" t="s">
        <v>58</v>
      </c>
      <c r="L435" s="3" t="s">
        <v>59</v>
      </c>
      <c r="M435" s="3" t="s">
        <v>220</v>
      </c>
      <c r="N435" s="3">
        <v>9</v>
      </c>
      <c r="O435" s="3">
        <v>0.3</v>
      </c>
      <c r="P435" s="3">
        <v>371.63</v>
      </c>
      <c r="Q435" s="3">
        <v>74.97</v>
      </c>
    </row>
    <row r="436" spans="1:17" x14ac:dyDescent="0.3">
      <c r="A436" s="3">
        <v>430</v>
      </c>
      <c r="B436" s="3" t="s">
        <v>810</v>
      </c>
      <c r="C436" s="3" t="s">
        <v>1416</v>
      </c>
      <c r="D436" s="3" t="s">
        <v>1608</v>
      </c>
      <c r="E436" s="3" t="s">
        <v>62</v>
      </c>
      <c r="F436" s="3" t="s">
        <v>441</v>
      </c>
      <c r="G436" s="3" t="s">
        <v>21</v>
      </c>
      <c r="H436" s="3" t="s">
        <v>46</v>
      </c>
      <c r="I436" s="3" t="s">
        <v>257</v>
      </c>
      <c r="J436" s="3" t="s">
        <v>258</v>
      </c>
      <c r="K436" s="3" t="s">
        <v>33</v>
      </c>
      <c r="L436" s="3" t="s">
        <v>64</v>
      </c>
      <c r="M436" s="3" t="s">
        <v>269</v>
      </c>
      <c r="N436" s="3">
        <v>6</v>
      </c>
      <c r="O436" s="3">
        <v>0</v>
      </c>
      <c r="P436" s="3">
        <v>1634.05</v>
      </c>
      <c r="Q436" s="3">
        <v>141.27000000000001</v>
      </c>
    </row>
    <row r="437" spans="1:17" x14ac:dyDescent="0.3">
      <c r="A437" s="3">
        <v>431</v>
      </c>
      <c r="B437" s="3" t="s">
        <v>811</v>
      </c>
      <c r="C437" s="3" t="s">
        <v>1152</v>
      </c>
      <c r="D437" s="3" t="s">
        <v>1153</v>
      </c>
      <c r="E437" s="3" t="s">
        <v>56</v>
      </c>
      <c r="F437" s="3" t="s">
        <v>650</v>
      </c>
      <c r="G437" s="3" t="s">
        <v>30</v>
      </c>
      <c r="H437" s="3" t="s">
        <v>90</v>
      </c>
      <c r="I437" s="3" t="s">
        <v>91</v>
      </c>
      <c r="J437" s="3" t="s">
        <v>92</v>
      </c>
      <c r="K437" s="3" t="s">
        <v>58</v>
      </c>
      <c r="L437" s="3" t="s">
        <v>86</v>
      </c>
      <c r="M437" s="3" t="s">
        <v>133</v>
      </c>
      <c r="N437" s="3">
        <v>6</v>
      </c>
      <c r="O437" s="3">
        <v>0.3</v>
      </c>
      <c r="P437" s="3">
        <v>2468.08</v>
      </c>
      <c r="Q437" s="3">
        <v>-206.61</v>
      </c>
    </row>
    <row r="438" spans="1:17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x14ac:dyDescent="0.3">
      <c r="A439" s="3">
        <v>432</v>
      </c>
      <c r="B439" s="3" t="s">
        <v>812</v>
      </c>
      <c r="C439" s="3" t="s">
        <v>1609</v>
      </c>
      <c r="D439" s="3" t="s">
        <v>1610</v>
      </c>
      <c r="E439" s="3" t="s">
        <v>19</v>
      </c>
      <c r="F439" s="3" t="s">
        <v>653</v>
      </c>
      <c r="G439" s="3" t="s">
        <v>30</v>
      </c>
      <c r="H439" s="3" t="s">
        <v>22</v>
      </c>
      <c r="I439" s="3" t="s">
        <v>84</v>
      </c>
      <c r="J439" s="3" t="s">
        <v>85</v>
      </c>
      <c r="K439" s="3" t="s">
        <v>25</v>
      </c>
      <c r="L439" s="3" t="s">
        <v>53</v>
      </c>
      <c r="M439" s="3" t="s">
        <v>171</v>
      </c>
      <c r="N439" s="3">
        <v>10</v>
      </c>
      <c r="O439" s="3">
        <v>0</v>
      </c>
      <c r="P439" s="3">
        <v>454.41</v>
      </c>
      <c r="Q439" s="3">
        <v>-62.25</v>
      </c>
    </row>
    <row r="440" spans="1:17" x14ac:dyDescent="0.3">
      <c r="A440" s="3">
        <v>433</v>
      </c>
      <c r="B440" s="3" t="s">
        <v>813</v>
      </c>
      <c r="C440" s="3" t="s">
        <v>1344</v>
      </c>
      <c r="D440" s="3" t="s">
        <v>1590</v>
      </c>
      <c r="E440" s="3" t="s">
        <v>19</v>
      </c>
      <c r="F440" s="3" t="s">
        <v>109</v>
      </c>
      <c r="G440" s="3" t="s">
        <v>39</v>
      </c>
      <c r="H440" s="3" t="s">
        <v>46</v>
      </c>
      <c r="I440" s="3" t="s">
        <v>257</v>
      </c>
      <c r="J440" s="3" t="s">
        <v>258</v>
      </c>
      <c r="K440" s="3" t="s">
        <v>33</v>
      </c>
      <c r="L440" s="3" t="s">
        <v>64</v>
      </c>
      <c r="M440" s="3" t="s">
        <v>126</v>
      </c>
      <c r="N440" s="3">
        <v>8</v>
      </c>
      <c r="O440" s="3">
        <v>0.1</v>
      </c>
      <c r="P440" s="3">
        <v>982.31</v>
      </c>
      <c r="Q440" s="3">
        <v>61.31</v>
      </c>
    </row>
    <row r="441" spans="1:17" x14ac:dyDescent="0.3">
      <c r="A441" s="3">
        <v>434</v>
      </c>
      <c r="B441" s="3" t="s">
        <v>814</v>
      </c>
      <c r="C441" s="3" t="s">
        <v>1611</v>
      </c>
      <c r="D441" s="3" t="s">
        <v>1612</v>
      </c>
      <c r="E441" s="3" t="s">
        <v>37</v>
      </c>
      <c r="F441" s="3" t="s">
        <v>815</v>
      </c>
      <c r="G441" s="3" t="s">
        <v>30</v>
      </c>
      <c r="H441" s="3" t="s">
        <v>90</v>
      </c>
      <c r="I441" s="3" t="s">
        <v>99</v>
      </c>
      <c r="J441" s="3" t="s">
        <v>100</v>
      </c>
      <c r="K441" s="3" t="s">
        <v>25</v>
      </c>
      <c r="L441" s="3" t="s">
        <v>53</v>
      </c>
      <c r="M441" s="3" t="s">
        <v>171</v>
      </c>
      <c r="N441" s="3">
        <v>4</v>
      </c>
      <c r="O441" s="3">
        <v>0.1</v>
      </c>
      <c r="P441" s="3">
        <v>36.58</v>
      </c>
      <c r="Q441" s="3">
        <v>9.18</v>
      </c>
    </row>
    <row r="442" spans="1:17" x14ac:dyDescent="0.3">
      <c r="A442" s="3">
        <v>435</v>
      </c>
      <c r="B442" s="3" t="s">
        <v>816</v>
      </c>
      <c r="C442" s="3" t="s">
        <v>1302</v>
      </c>
      <c r="D442" s="3" t="s">
        <v>1613</v>
      </c>
      <c r="E442" s="3" t="s">
        <v>37</v>
      </c>
      <c r="F442" s="3" t="s">
        <v>817</v>
      </c>
      <c r="G442" s="3" t="s">
        <v>30</v>
      </c>
      <c r="H442" s="3" t="s">
        <v>90</v>
      </c>
      <c r="I442" s="3" t="s">
        <v>91</v>
      </c>
      <c r="J442" s="3" t="s">
        <v>92</v>
      </c>
      <c r="K442" s="3" t="s">
        <v>25</v>
      </c>
      <c r="L442" s="3" t="s">
        <v>80</v>
      </c>
      <c r="M442" s="3" t="s">
        <v>150</v>
      </c>
      <c r="N442" s="3">
        <v>10</v>
      </c>
      <c r="O442" s="3">
        <v>0.15</v>
      </c>
      <c r="P442" s="3">
        <v>167.8</v>
      </c>
      <c r="Q442" s="3">
        <v>-24.66</v>
      </c>
    </row>
    <row r="443" spans="1:17" x14ac:dyDescent="0.3">
      <c r="A443" s="3">
        <v>436</v>
      </c>
      <c r="B443" s="3" t="s">
        <v>818</v>
      </c>
      <c r="C443" s="3" t="s">
        <v>1262</v>
      </c>
      <c r="D443" s="3" t="s">
        <v>1608</v>
      </c>
      <c r="E443" s="3" t="s">
        <v>62</v>
      </c>
      <c r="F443" s="3" t="s">
        <v>819</v>
      </c>
      <c r="G443" s="3" t="s">
        <v>21</v>
      </c>
      <c r="H443" s="3" t="s">
        <v>22</v>
      </c>
      <c r="I443" s="3" t="s">
        <v>68</v>
      </c>
      <c r="J443" s="3" t="s">
        <v>69</v>
      </c>
      <c r="K443" s="3" t="s">
        <v>25</v>
      </c>
      <c r="L443" s="3" t="s">
        <v>74</v>
      </c>
      <c r="M443" s="3" t="s">
        <v>75</v>
      </c>
      <c r="N443" s="3">
        <v>12</v>
      </c>
      <c r="O443" s="3">
        <v>0</v>
      </c>
      <c r="P443" s="3">
        <v>782.01</v>
      </c>
      <c r="Q443" s="3">
        <v>261.13</v>
      </c>
    </row>
    <row r="444" spans="1:17" x14ac:dyDescent="0.3">
      <c r="A444" s="3">
        <v>437</v>
      </c>
      <c r="B444" s="3" t="s">
        <v>820</v>
      </c>
      <c r="C444" s="3" t="s">
        <v>1436</v>
      </c>
      <c r="D444" s="3" t="s">
        <v>1614</v>
      </c>
      <c r="E444" s="3" t="s">
        <v>19</v>
      </c>
      <c r="F444" s="3" t="s">
        <v>192</v>
      </c>
      <c r="G444" s="3" t="s">
        <v>39</v>
      </c>
      <c r="H444" s="3" t="s">
        <v>46</v>
      </c>
      <c r="I444" s="3" t="s">
        <v>47</v>
      </c>
      <c r="J444" s="3" t="s">
        <v>48</v>
      </c>
      <c r="K444" s="3" t="s">
        <v>33</v>
      </c>
      <c r="L444" s="3" t="s">
        <v>64</v>
      </c>
      <c r="M444" s="3" t="s">
        <v>269</v>
      </c>
      <c r="N444" s="3">
        <v>9</v>
      </c>
      <c r="O444" s="3">
        <v>0.2</v>
      </c>
      <c r="P444" s="3">
        <v>4249.59</v>
      </c>
      <c r="Q444" s="3">
        <v>1431.32</v>
      </c>
    </row>
    <row r="445" spans="1:17" x14ac:dyDescent="0.3">
      <c r="A445" s="3">
        <v>438</v>
      </c>
      <c r="B445" s="3" t="s">
        <v>821</v>
      </c>
      <c r="C445" s="3" t="s">
        <v>1532</v>
      </c>
      <c r="D445" s="3" t="s">
        <v>995</v>
      </c>
      <c r="E445" s="3" t="s">
        <v>19</v>
      </c>
      <c r="F445" s="3" t="s">
        <v>226</v>
      </c>
      <c r="G445" s="3" t="s">
        <v>39</v>
      </c>
      <c r="H445" s="3" t="s">
        <v>46</v>
      </c>
      <c r="I445" s="3" t="s">
        <v>257</v>
      </c>
      <c r="J445" s="3" t="s">
        <v>258</v>
      </c>
      <c r="K445" s="3" t="s">
        <v>58</v>
      </c>
      <c r="L445" s="3" t="s">
        <v>217</v>
      </c>
      <c r="M445" s="3" t="s">
        <v>218</v>
      </c>
      <c r="N445" s="3">
        <v>6</v>
      </c>
      <c r="O445" s="3">
        <v>0.2</v>
      </c>
      <c r="P445" s="3">
        <v>582.87</v>
      </c>
      <c r="Q445" s="3">
        <v>80.64</v>
      </c>
    </row>
    <row r="446" spans="1:17" x14ac:dyDescent="0.3">
      <c r="A446" s="3">
        <v>439</v>
      </c>
      <c r="B446" s="3" t="s">
        <v>822</v>
      </c>
      <c r="C446" s="3" t="s">
        <v>1615</v>
      </c>
      <c r="D446" s="3" t="s">
        <v>1616</v>
      </c>
      <c r="E446" s="3" t="s">
        <v>37</v>
      </c>
      <c r="F446" s="3" t="s">
        <v>391</v>
      </c>
      <c r="G446" s="3" t="s">
        <v>21</v>
      </c>
      <c r="H446" s="3" t="s">
        <v>90</v>
      </c>
      <c r="I446" s="3" t="s">
        <v>99</v>
      </c>
      <c r="J446" s="3" t="s">
        <v>100</v>
      </c>
      <c r="K446" s="3" t="s">
        <v>25</v>
      </c>
      <c r="L446" s="3" t="s">
        <v>53</v>
      </c>
      <c r="M446" s="3" t="s">
        <v>54</v>
      </c>
      <c r="N446" s="3">
        <v>11</v>
      </c>
      <c r="O446" s="3">
        <v>0.15</v>
      </c>
      <c r="P446" s="3">
        <v>703.97</v>
      </c>
      <c r="Q446" s="3">
        <v>-165.52</v>
      </c>
    </row>
    <row r="447" spans="1:17" x14ac:dyDescent="0.3">
      <c r="A447" s="3">
        <v>440</v>
      </c>
      <c r="B447" s="3" t="s">
        <v>823</v>
      </c>
      <c r="C447" s="3" t="s">
        <v>1617</v>
      </c>
      <c r="D447" s="3" t="s">
        <v>983</v>
      </c>
      <c r="E447" s="3" t="s">
        <v>56</v>
      </c>
      <c r="F447" s="3" t="s">
        <v>824</v>
      </c>
      <c r="G447" s="3" t="s">
        <v>21</v>
      </c>
      <c r="H447" s="3" t="s">
        <v>22</v>
      </c>
      <c r="I447" s="3" t="s">
        <v>31</v>
      </c>
      <c r="J447" s="3" t="s">
        <v>32</v>
      </c>
      <c r="K447" s="3" t="s">
        <v>25</v>
      </c>
      <c r="L447" s="3" t="s">
        <v>80</v>
      </c>
      <c r="M447" s="3" t="s">
        <v>81</v>
      </c>
      <c r="N447" s="3">
        <v>1</v>
      </c>
      <c r="O447" s="3">
        <v>0.4</v>
      </c>
      <c r="P447" s="3">
        <v>10.44</v>
      </c>
      <c r="Q447" s="3">
        <v>1.63</v>
      </c>
    </row>
    <row r="448" spans="1:17" x14ac:dyDescent="0.3">
      <c r="A448" s="3">
        <v>441</v>
      </c>
      <c r="B448" s="3" t="s">
        <v>825</v>
      </c>
      <c r="C448" s="3" t="s">
        <v>1328</v>
      </c>
      <c r="D448" s="3" t="s">
        <v>1618</v>
      </c>
      <c r="E448" s="3" t="s">
        <v>37</v>
      </c>
      <c r="F448" s="3" t="s">
        <v>690</v>
      </c>
      <c r="G448" s="3" t="s">
        <v>30</v>
      </c>
      <c r="H448" s="3" t="s">
        <v>46</v>
      </c>
      <c r="I448" s="3" t="s">
        <v>47</v>
      </c>
      <c r="J448" s="3" t="s">
        <v>48</v>
      </c>
      <c r="K448" s="3" t="s">
        <v>25</v>
      </c>
      <c r="L448" s="3" t="s">
        <v>116</v>
      </c>
      <c r="M448" s="3" t="s">
        <v>117</v>
      </c>
      <c r="N448" s="3">
        <v>3</v>
      </c>
      <c r="O448" s="3">
        <v>0.3</v>
      </c>
      <c r="P448" s="3">
        <v>236.1</v>
      </c>
      <c r="Q448" s="3">
        <v>-6.66</v>
      </c>
    </row>
    <row r="449" spans="1:17" x14ac:dyDescent="0.3">
      <c r="A449" s="3">
        <v>442</v>
      </c>
      <c r="B449" s="3" t="s">
        <v>826</v>
      </c>
      <c r="C449" s="3" t="s">
        <v>1619</v>
      </c>
      <c r="D449" s="3" t="s">
        <v>1253</v>
      </c>
      <c r="E449" s="3" t="s">
        <v>62</v>
      </c>
      <c r="F449" s="3" t="s">
        <v>549</v>
      </c>
      <c r="G449" s="3" t="s">
        <v>39</v>
      </c>
      <c r="H449" s="3" t="s">
        <v>46</v>
      </c>
      <c r="I449" s="3" t="s">
        <v>146</v>
      </c>
      <c r="J449" s="3" t="s">
        <v>147</v>
      </c>
      <c r="K449" s="3" t="s">
        <v>58</v>
      </c>
      <c r="L449" s="3" t="s">
        <v>59</v>
      </c>
      <c r="M449" s="3" t="s">
        <v>60</v>
      </c>
      <c r="N449" s="3">
        <v>7</v>
      </c>
      <c r="O449" s="3">
        <v>0.15</v>
      </c>
      <c r="P449" s="3">
        <v>2725.69</v>
      </c>
      <c r="Q449" s="3">
        <v>-413.56</v>
      </c>
    </row>
    <row r="450" spans="1:17" x14ac:dyDescent="0.3">
      <c r="A450" s="3">
        <v>443</v>
      </c>
      <c r="B450" s="3" t="s">
        <v>827</v>
      </c>
      <c r="C450" s="3" t="s">
        <v>1488</v>
      </c>
      <c r="D450" s="3" t="s">
        <v>1376</v>
      </c>
      <c r="E450" s="3" t="s">
        <v>56</v>
      </c>
      <c r="F450" s="3" t="s">
        <v>828</v>
      </c>
      <c r="G450" s="3" t="s">
        <v>39</v>
      </c>
      <c r="H450" s="3" t="s">
        <v>40</v>
      </c>
      <c r="I450" s="3" t="s">
        <v>114</v>
      </c>
      <c r="J450" s="3" t="s">
        <v>115</v>
      </c>
      <c r="K450" s="3" t="s">
        <v>25</v>
      </c>
      <c r="L450" s="3" t="s">
        <v>80</v>
      </c>
      <c r="M450" s="3" t="s">
        <v>150</v>
      </c>
      <c r="N450" s="3">
        <v>13</v>
      </c>
      <c r="O450" s="3">
        <v>0</v>
      </c>
      <c r="P450" s="3">
        <v>602.42999999999995</v>
      </c>
      <c r="Q450" s="3">
        <v>-2.6</v>
      </c>
    </row>
    <row r="451" spans="1:17" x14ac:dyDescent="0.3">
      <c r="A451" s="3">
        <v>444</v>
      </c>
      <c r="B451" s="3" t="s">
        <v>829</v>
      </c>
      <c r="C451" s="3" t="s">
        <v>1620</v>
      </c>
      <c r="D451" s="3" t="s">
        <v>1419</v>
      </c>
      <c r="E451" s="3" t="s">
        <v>56</v>
      </c>
      <c r="F451" s="3" t="s">
        <v>725</v>
      </c>
      <c r="G451" s="3" t="s">
        <v>39</v>
      </c>
      <c r="H451" s="3" t="s">
        <v>40</v>
      </c>
      <c r="I451" s="3" t="s">
        <v>114</v>
      </c>
      <c r="J451" s="3" t="s">
        <v>115</v>
      </c>
      <c r="K451" s="3" t="s">
        <v>33</v>
      </c>
      <c r="L451" s="3" t="s">
        <v>34</v>
      </c>
      <c r="M451" s="3" t="s">
        <v>254</v>
      </c>
      <c r="N451" s="3">
        <v>1</v>
      </c>
      <c r="O451" s="3">
        <v>0.15</v>
      </c>
      <c r="P451" s="3">
        <v>554.27</v>
      </c>
      <c r="Q451" s="3">
        <v>138.97999999999999</v>
      </c>
    </row>
    <row r="452" spans="1:17" x14ac:dyDescent="0.3">
      <c r="A452" s="3">
        <v>445</v>
      </c>
      <c r="B452" s="3" t="s">
        <v>830</v>
      </c>
      <c r="C452" s="3" t="s">
        <v>1621</v>
      </c>
      <c r="D452" s="3" t="s">
        <v>1028</v>
      </c>
      <c r="E452" s="3" t="s">
        <v>19</v>
      </c>
      <c r="F452" s="3" t="s">
        <v>828</v>
      </c>
      <c r="G452" s="3" t="s">
        <v>30</v>
      </c>
      <c r="H452" s="3" t="s">
        <v>40</v>
      </c>
      <c r="I452" s="3" t="s">
        <v>158</v>
      </c>
      <c r="J452" s="3" t="s">
        <v>159</v>
      </c>
      <c r="K452" s="3" t="s">
        <v>58</v>
      </c>
      <c r="L452" s="3" t="s">
        <v>86</v>
      </c>
      <c r="M452" s="3" t="s">
        <v>211</v>
      </c>
      <c r="N452" s="3">
        <v>14</v>
      </c>
      <c r="O452" s="3">
        <v>0</v>
      </c>
      <c r="P452" s="3">
        <v>4608.57</v>
      </c>
      <c r="Q452" s="3">
        <v>655.74</v>
      </c>
    </row>
    <row r="453" spans="1:17" x14ac:dyDescent="0.3">
      <c r="A453" s="3">
        <v>446</v>
      </c>
      <c r="B453" s="3" t="s">
        <v>831</v>
      </c>
      <c r="C453" s="3" t="s">
        <v>951</v>
      </c>
      <c r="D453" s="3" t="s">
        <v>1329</v>
      </c>
      <c r="E453" s="3" t="s">
        <v>62</v>
      </c>
      <c r="F453" s="3" t="s">
        <v>551</v>
      </c>
      <c r="G453" s="3" t="s">
        <v>39</v>
      </c>
      <c r="H453" s="3" t="s">
        <v>22</v>
      </c>
      <c r="I453" s="3" t="s">
        <v>23</v>
      </c>
      <c r="J453" s="3" t="s">
        <v>24</v>
      </c>
      <c r="K453" s="3" t="s">
        <v>25</v>
      </c>
      <c r="L453" s="3" t="s">
        <v>74</v>
      </c>
      <c r="M453" s="3" t="s">
        <v>75</v>
      </c>
      <c r="N453" s="3">
        <v>6</v>
      </c>
      <c r="O453" s="3">
        <v>0.3</v>
      </c>
      <c r="P453" s="3">
        <v>385.29</v>
      </c>
      <c r="Q453" s="3">
        <v>104.42</v>
      </c>
    </row>
    <row r="454" spans="1:17" x14ac:dyDescent="0.3">
      <c r="A454" s="3">
        <v>447</v>
      </c>
      <c r="B454" s="3" t="s">
        <v>832</v>
      </c>
      <c r="C454" s="3" t="s">
        <v>1622</v>
      </c>
      <c r="D454" s="3" t="s">
        <v>1075</v>
      </c>
      <c r="E454" s="3" t="s">
        <v>37</v>
      </c>
      <c r="F454" s="3" t="s">
        <v>833</v>
      </c>
      <c r="G454" s="3" t="s">
        <v>30</v>
      </c>
      <c r="H454" s="3" t="s">
        <v>46</v>
      </c>
      <c r="I454" s="3" t="s">
        <v>78</v>
      </c>
      <c r="J454" s="3" t="s">
        <v>79</v>
      </c>
      <c r="K454" s="3" t="s">
        <v>25</v>
      </c>
      <c r="L454" s="3" t="s">
        <v>26</v>
      </c>
      <c r="M454" s="3" t="s">
        <v>259</v>
      </c>
      <c r="N454" s="3">
        <v>3</v>
      </c>
      <c r="O454" s="3">
        <v>0</v>
      </c>
      <c r="P454" s="3">
        <v>132.51</v>
      </c>
      <c r="Q454" s="3">
        <v>-11.45</v>
      </c>
    </row>
    <row r="455" spans="1:17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x14ac:dyDescent="0.3">
      <c r="A456" s="3">
        <v>448</v>
      </c>
      <c r="B456" s="3" t="s">
        <v>834</v>
      </c>
      <c r="C456" s="3" t="s">
        <v>951</v>
      </c>
      <c r="D456" s="3" t="s">
        <v>1623</v>
      </c>
      <c r="E456" s="3" t="s">
        <v>37</v>
      </c>
      <c r="F456" s="3" t="s">
        <v>835</v>
      </c>
      <c r="G456" s="3" t="s">
        <v>21</v>
      </c>
      <c r="H456" s="3" t="s">
        <v>22</v>
      </c>
      <c r="I456" s="3" t="s">
        <v>31</v>
      </c>
      <c r="J456" s="3" t="s">
        <v>32</v>
      </c>
      <c r="K456" s="3" t="s">
        <v>33</v>
      </c>
      <c r="L456" s="3" t="s">
        <v>95</v>
      </c>
      <c r="M456" s="3" t="s">
        <v>262</v>
      </c>
      <c r="N456" s="3">
        <v>3</v>
      </c>
      <c r="O456" s="3">
        <v>0.2</v>
      </c>
      <c r="P456" s="3">
        <v>1105.46</v>
      </c>
      <c r="Q456" s="3">
        <v>272.05</v>
      </c>
    </row>
    <row r="457" spans="1:17" x14ac:dyDescent="0.3">
      <c r="A457" s="3">
        <v>449</v>
      </c>
      <c r="B457" s="3" t="s">
        <v>836</v>
      </c>
      <c r="C457" s="3" t="s">
        <v>1564</v>
      </c>
      <c r="D457" s="3" t="s">
        <v>1115</v>
      </c>
      <c r="E457" s="3" t="s">
        <v>62</v>
      </c>
      <c r="F457" s="3" t="s">
        <v>837</v>
      </c>
      <c r="G457" s="3" t="s">
        <v>21</v>
      </c>
      <c r="H457" s="3" t="s">
        <v>40</v>
      </c>
      <c r="I457" s="3" t="s">
        <v>158</v>
      </c>
      <c r="J457" s="3" t="s">
        <v>159</v>
      </c>
      <c r="K457" s="3" t="s">
        <v>33</v>
      </c>
      <c r="L457" s="3" t="s">
        <v>64</v>
      </c>
      <c r="M457" s="3" t="s">
        <v>269</v>
      </c>
      <c r="N457" s="3">
        <v>6</v>
      </c>
      <c r="O457" s="3">
        <v>0</v>
      </c>
      <c r="P457" s="3">
        <v>3879.67</v>
      </c>
      <c r="Q457" s="3">
        <v>-731.51</v>
      </c>
    </row>
    <row r="458" spans="1:17" x14ac:dyDescent="0.3">
      <c r="A458" s="3">
        <v>450</v>
      </c>
      <c r="B458" s="3" t="s">
        <v>838</v>
      </c>
      <c r="C458" s="3" t="s">
        <v>1624</v>
      </c>
      <c r="D458" s="3" t="s">
        <v>1625</v>
      </c>
      <c r="E458" s="3" t="s">
        <v>19</v>
      </c>
      <c r="F458" s="3" t="s">
        <v>125</v>
      </c>
      <c r="G458" s="3" t="s">
        <v>30</v>
      </c>
      <c r="H458" s="3" t="s">
        <v>90</v>
      </c>
      <c r="I458" s="3" t="s">
        <v>110</v>
      </c>
      <c r="J458" s="3" t="s">
        <v>111</v>
      </c>
      <c r="K458" s="3" t="s">
        <v>58</v>
      </c>
      <c r="L458" s="3" t="s">
        <v>59</v>
      </c>
      <c r="M458" s="3" t="s">
        <v>60</v>
      </c>
      <c r="N458" s="3">
        <v>6</v>
      </c>
      <c r="O458" s="3">
        <v>0.2</v>
      </c>
      <c r="P458" s="3">
        <v>995.12</v>
      </c>
      <c r="Q458" s="3">
        <v>-165.78</v>
      </c>
    </row>
    <row r="459" spans="1:17" x14ac:dyDescent="0.3">
      <c r="A459" s="3">
        <v>451</v>
      </c>
      <c r="B459" s="3" t="s">
        <v>839</v>
      </c>
      <c r="C459" s="3" t="s">
        <v>1626</v>
      </c>
      <c r="D459" s="3" t="s">
        <v>1501</v>
      </c>
      <c r="E459" s="3" t="s">
        <v>62</v>
      </c>
      <c r="F459" s="3" t="s">
        <v>464</v>
      </c>
      <c r="G459" s="3" t="s">
        <v>30</v>
      </c>
      <c r="H459" s="3" t="s">
        <v>46</v>
      </c>
      <c r="I459" s="3" t="s">
        <v>257</v>
      </c>
      <c r="J459" s="3" t="s">
        <v>258</v>
      </c>
      <c r="K459" s="3" t="s">
        <v>25</v>
      </c>
      <c r="L459" s="3" t="s">
        <v>116</v>
      </c>
      <c r="M459" s="3" t="s">
        <v>202</v>
      </c>
      <c r="N459" s="3">
        <v>12</v>
      </c>
      <c r="O459" s="3">
        <v>0.1</v>
      </c>
      <c r="P459" s="3">
        <v>218.81</v>
      </c>
      <c r="Q459" s="3">
        <v>-14.34</v>
      </c>
    </row>
    <row r="460" spans="1:17" x14ac:dyDescent="0.3">
      <c r="A460" s="3">
        <v>452</v>
      </c>
      <c r="B460" s="3" t="s">
        <v>840</v>
      </c>
      <c r="C460" s="3" t="s">
        <v>1627</v>
      </c>
      <c r="D460" s="3" t="s">
        <v>1628</v>
      </c>
      <c r="E460" s="3" t="s">
        <v>62</v>
      </c>
      <c r="F460" s="3" t="s">
        <v>730</v>
      </c>
      <c r="G460" s="3" t="s">
        <v>30</v>
      </c>
      <c r="H460" s="3" t="s">
        <v>22</v>
      </c>
      <c r="I460" s="3" t="s">
        <v>23</v>
      </c>
      <c r="J460" s="3" t="s">
        <v>24</v>
      </c>
      <c r="K460" s="3" t="s">
        <v>58</v>
      </c>
      <c r="L460" s="3" t="s">
        <v>217</v>
      </c>
      <c r="M460" s="3" t="s">
        <v>232</v>
      </c>
      <c r="N460" s="3">
        <v>1</v>
      </c>
      <c r="O460" s="3">
        <v>0</v>
      </c>
      <c r="P460" s="3">
        <v>402.74</v>
      </c>
      <c r="Q460" s="3">
        <v>12.67</v>
      </c>
    </row>
    <row r="461" spans="1:17" x14ac:dyDescent="0.3">
      <c r="A461" s="3">
        <v>453</v>
      </c>
      <c r="B461" s="3" t="s">
        <v>841</v>
      </c>
      <c r="C461" s="3" t="s">
        <v>1629</v>
      </c>
      <c r="D461" s="3" t="s">
        <v>1630</v>
      </c>
      <c r="E461" s="3" t="s">
        <v>19</v>
      </c>
      <c r="F461" s="3" t="s">
        <v>842</v>
      </c>
      <c r="G461" s="3" t="s">
        <v>30</v>
      </c>
      <c r="H461" s="3" t="s">
        <v>22</v>
      </c>
      <c r="I461" s="3" t="s">
        <v>23</v>
      </c>
      <c r="J461" s="3" t="s">
        <v>24</v>
      </c>
      <c r="K461" s="3" t="s">
        <v>58</v>
      </c>
      <c r="L461" s="3" t="s">
        <v>86</v>
      </c>
      <c r="M461" s="3" t="s">
        <v>133</v>
      </c>
      <c r="N461" s="3">
        <v>11</v>
      </c>
      <c r="O461" s="3">
        <v>0</v>
      </c>
      <c r="P461" s="3">
        <v>2147.4299999999998</v>
      </c>
      <c r="Q461" s="3">
        <v>-349.31</v>
      </c>
    </row>
    <row r="462" spans="1:17" x14ac:dyDescent="0.3">
      <c r="A462" s="3">
        <v>454</v>
      </c>
      <c r="B462" s="3" t="s">
        <v>843</v>
      </c>
      <c r="C462" s="3" t="s">
        <v>1373</v>
      </c>
      <c r="D462" s="3" t="s">
        <v>1631</v>
      </c>
      <c r="E462" s="3" t="s">
        <v>56</v>
      </c>
      <c r="F462" s="3" t="s">
        <v>631</v>
      </c>
      <c r="G462" s="3" t="s">
        <v>39</v>
      </c>
      <c r="H462" s="3" t="s">
        <v>40</v>
      </c>
      <c r="I462" s="3" t="s">
        <v>223</v>
      </c>
      <c r="J462" s="3" t="s">
        <v>224</v>
      </c>
      <c r="K462" s="3" t="s">
        <v>25</v>
      </c>
      <c r="L462" s="3" t="s">
        <v>116</v>
      </c>
      <c r="M462" s="3" t="s">
        <v>117</v>
      </c>
      <c r="N462" s="3">
        <v>4</v>
      </c>
      <c r="O462" s="3">
        <v>0.15</v>
      </c>
      <c r="P462" s="3">
        <v>330.3</v>
      </c>
      <c r="Q462" s="3">
        <v>-48.53</v>
      </c>
    </row>
    <row r="463" spans="1:17" x14ac:dyDescent="0.3">
      <c r="A463" s="3">
        <v>455</v>
      </c>
      <c r="B463" s="3" t="s">
        <v>844</v>
      </c>
      <c r="C463" s="3" t="s">
        <v>1322</v>
      </c>
      <c r="D463" s="3" t="s">
        <v>1632</v>
      </c>
      <c r="E463" s="3" t="s">
        <v>19</v>
      </c>
      <c r="F463" s="3" t="s">
        <v>845</v>
      </c>
      <c r="G463" s="3" t="s">
        <v>21</v>
      </c>
      <c r="H463" s="3" t="s">
        <v>46</v>
      </c>
      <c r="I463" s="3" t="s">
        <v>47</v>
      </c>
      <c r="J463" s="3" t="s">
        <v>48</v>
      </c>
      <c r="K463" s="3" t="s">
        <v>33</v>
      </c>
      <c r="L463" s="3" t="s">
        <v>49</v>
      </c>
      <c r="M463" s="3" t="s">
        <v>208</v>
      </c>
      <c r="N463" s="3">
        <v>7</v>
      </c>
      <c r="O463" s="3">
        <v>0.1</v>
      </c>
      <c r="P463" s="3">
        <v>1151.82</v>
      </c>
      <c r="Q463" s="3">
        <v>-6.28</v>
      </c>
    </row>
    <row r="464" spans="1:17" x14ac:dyDescent="0.3">
      <c r="A464" s="3">
        <v>456</v>
      </c>
      <c r="B464" s="3" t="s">
        <v>846</v>
      </c>
      <c r="C464" s="3" t="s">
        <v>1282</v>
      </c>
      <c r="D464" s="3" t="s">
        <v>1283</v>
      </c>
      <c r="E464" s="3" t="s">
        <v>56</v>
      </c>
      <c r="F464" s="3" t="s">
        <v>847</v>
      </c>
      <c r="G464" s="3" t="s">
        <v>39</v>
      </c>
      <c r="H464" s="3" t="s">
        <v>90</v>
      </c>
      <c r="I464" s="3" t="s">
        <v>99</v>
      </c>
      <c r="J464" s="3" t="s">
        <v>100</v>
      </c>
      <c r="K464" s="3" t="s">
        <v>25</v>
      </c>
      <c r="L464" s="3" t="s">
        <v>80</v>
      </c>
      <c r="M464" s="3" t="s">
        <v>81</v>
      </c>
      <c r="N464" s="3">
        <v>8</v>
      </c>
      <c r="O464" s="3">
        <v>0.15</v>
      </c>
      <c r="P464" s="3">
        <v>119.61</v>
      </c>
      <c r="Q464" s="3">
        <v>2.89</v>
      </c>
    </row>
    <row r="465" spans="1:17" x14ac:dyDescent="0.3">
      <c r="A465" s="3">
        <v>457</v>
      </c>
      <c r="B465" s="3" t="s">
        <v>848</v>
      </c>
      <c r="C465" s="3" t="s">
        <v>1633</v>
      </c>
      <c r="D465" s="3" t="s">
        <v>1392</v>
      </c>
      <c r="E465" s="3" t="s">
        <v>62</v>
      </c>
      <c r="F465" s="3" t="s">
        <v>271</v>
      </c>
      <c r="G465" s="3" t="s">
        <v>39</v>
      </c>
      <c r="H465" s="3" t="s">
        <v>46</v>
      </c>
      <c r="I465" s="3" t="s">
        <v>146</v>
      </c>
      <c r="J465" s="3" t="s">
        <v>147</v>
      </c>
      <c r="K465" s="3" t="s">
        <v>33</v>
      </c>
      <c r="L465" s="3" t="s">
        <v>49</v>
      </c>
      <c r="M465" s="3" t="s">
        <v>478</v>
      </c>
      <c r="N465" s="3">
        <v>3</v>
      </c>
      <c r="O465" s="3">
        <v>0.4</v>
      </c>
      <c r="P465" s="3">
        <v>88.78</v>
      </c>
      <c r="Q465" s="3">
        <v>13.61</v>
      </c>
    </row>
    <row r="466" spans="1:17" x14ac:dyDescent="0.3">
      <c r="A466" s="3">
        <v>458</v>
      </c>
      <c r="B466" s="3" t="s">
        <v>849</v>
      </c>
      <c r="C466" s="3" t="s">
        <v>1634</v>
      </c>
      <c r="D466" s="3" t="s">
        <v>1635</v>
      </c>
      <c r="E466" s="3" t="s">
        <v>56</v>
      </c>
      <c r="F466" s="3" t="s">
        <v>98</v>
      </c>
      <c r="G466" s="3" t="s">
        <v>30</v>
      </c>
      <c r="H466" s="3" t="s">
        <v>22</v>
      </c>
      <c r="I466" s="3" t="s">
        <v>68</v>
      </c>
      <c r="J466" s="3" t="s">
        <v>69</v>
      </c>
      <c r="K466" s="3" t="s">
        <v>25</v>
      </c>
      <c r="L466" s="3" t="s">
        <v>53</v>
      </c>
      <c r="M466" s="3" t="s">
        <v>171</v>
      </c>
      <c r="N466" s="3">
        <v>3</v>
      </c>
      <c r="O466" s="3">
        <v>0.1</v>
      </c>
      <c r="P466" s="3">
        <v>28.04</v>
      </c>
      <c r="Q466" s="3">
        <v>-1.31</v>
      </c>
    </row>
    <row r="467" spans="1:17" x14ac:dyDescent="0.3">
      <c r="A467" s="3">
        <v>459</v>
      </c>
      <c r="B467" s="3" t="s">
        <v>850</v>
      </c>
      <c r="C467" s="3" t="s">
        <v>1455</v>
      </c>
      <c r="D467" s="3" t="s">
        <v>1636</v>
      </c>
      <c r="E467" s="3" t="s">
        <v>62</v>
      </c>
      <c r="F467" s="3" t="s">
        <v>851</v>
      </c>
      <c r="G467" s="3" t="s">
        <v>21</v>
      </c>
      <c r="H467" s="3" t="s">
        <v>46</v>
      </c>
      <c r="I467" s="3" t="s">
        <v>47</v>
      </c>
      <c r="J467" s="3" t="s">
        <v>48</v>
      </c>
      <c r="K467" s="3" t="s">
        <v>25</v>
      </c>
      <c r="L467" s="3" t="s">
        <v>53</v>
      </c>
      <c r="M467" s="3" t="s">
        <v>54</v>
      </c>
      <c r="N467" s="3">
        <v>11</v>
      </c>
      <c r="O467" s="3">
        <v>0.3</v>
      </c>
      <c r="P467" s="3">
        <v>732.47</v>
      </c>
      <c r="Q467" s="3">
        <v>250.88</v>
      </c>
    </row>
    <row r="468" spans="1:17" x14ac:dyDescent="0.3">
      <c r="A468" s="3">
        <v>460</v>
      </c>
      <c r="B468" s="3" t="s">
        <v>1637</v>
      </c>
      <c r="C468" s="3" t="s">
        <v>1513</v>
      </c>
      <c r="D468" s="3" t="s">
        <v>1638</v>
      </c>
      <c r="E468" s="3" t="s">
        <v>37</v>
      </c>
      <c r="F468" s="3" t="s">
        <v>1639</v>
      </c>
      <c r="G468" s="3" t="s">
        <v>39</v>
      </c>
      <c r="H468" s="3" t="s">
        <v>46</v>
      </c>
      <c r="I468" s="3" t="s">
        <v>146</v>
      </c>
      <c r="J468" s="3" t="s">
        <v>147</v>
      </c>
      <c r="K468" s="3" t="s">
        <v>25</v>
      </c>
      <c r="L468" s="3" t="s">
        <v>53</v>
      </c>
      <c r="M468" s="3" t="s">
        <v>139</v>
      </c>
      <c r="N468" s="3">
        <v>12</v>
      </c>
      <c r="O468" s="3">
        <v>0</v>
      </c>
      <c r="P468" s="3"/>
      <c r="Q468" s="3">
        <v>4.83</v>
      </c>
    </row>
    <row r="469" spans="1:17" x14ac:dyDescent="0.3">
      <c r="A469" s="3">
        <v>461</v>
      </c>
      <c r="B469" s="3" t="s">
        <v>852</v>
      </c>
      <c r="C469" s="3" t="s">
        <v>1640</v>
      </c>
      <c r="D469" s="3" t="s">
        <v>1641</v>
      </c>
      <c r="E469" s="3" t="s">
        <v>37</v>
      </c>
      <c r="F469" s="3" t="s">
        <v>214</v>
      </c>
      <c r="G469" s="3" t="s">
        <v>30</v>
      </c>
      <c r="H469" s="3" t="s">
        <v>40</v>
      </c>
      <c r="I469" s="3" t="s">
        <v>41</v>
      </c>
      <c r="J469" s="3" t="s">
        <v>42</v>
      </c>
      <c r="K469" s="3" t="s">
        <v>25</v>
      </c>
      <c r="L469" s="3" t="s">
        <v>116</v>
      </c>
      <c r="M469" s="3" t="s">
        <v>202</v>
      </c>
      <c r="N469" s="3">
        <v>9</v>
      </c>
      <c r="O469" s="3">
        <v>0.4</v>
      </c>
      <c r="P469" s="3">
        <v>733.18</v>
      </c>
      <c r="Q469" s="3">
        <v>-94.46</v>
      </c>
    </row>
    <row r="470" spans="1:17" x14ac:dyDescent="0.3">
      <c r="A470" s="3">
        <v>462</v>
      </c>
      <c r="B470" s="3" t="s">
        <v>853</v>
      </c>
      <c r="C470" s="3" t="s">
        <v>1106</v>
      </c>
      <c r="D470" s="3" t="s">
        <v>936</v>
      </c>
      <c r="E470" s="3" t="s">
        <v>19</v>
      </c>
      <c r="F470" s="3" t="s">
        <v>196</v>
      </c>
      <c r="G470" s="3" t="s">
        <v>39</v>
      </c>
      <c r="H470" s="3" t="s">
        <v>22</v>
      </c>
      <c r="I470" s="3" t="s">
        <v>23</v>
      </c>
      <c r="J470" s="3" t="s">
        <v>24</v>
      </c>
      <c r="K470" s="3" t="s">
        <v>58</v>
      </c>
      <c r="L470" s="3" t="s">
        <v>59</v>
      </c>
      <c r="M470" s="3" t="s">
        <v>220</v>
      </c>
      <c r="N470" s="3">
        <v>14</v>
      </c>
      <c r="O470" s="3">
        <v>0.4</v>
      </c>
      <c r="P470" s="3">
        <v>2548.7399999999998</v>
      </c>
      <c r="Q470" s="3">
        <v>-582.16</v>
      </c>
    </row>
    <row r="471" spans="1:17" x14ac:dyDescent="0.3">
      <c r="A471" s="3">
        <v>463</v>
      </c>
      <c r="B471" s="3" t="s">
        <v>854</v>
      </c>
      <c r="C471" s="3" t="s">
        <v>1642</v>
      </c>
      <c r="D471" s="3" t="s">
        <v>1643</v>
      </c>
      <c r="E471" s="3" t="s">
        <v>37</v>
      </c>
      <c r="F471" s="3" t="s">
        <v>855</v>
      </c>
      <c r="G471" s="3" t="s">
        <v>30</v>
      </c>
      <c r="H471" s="3" t="s">
        <v>90</v>
      </c>
      <c r="I471" s="3" t="s">
        <v>110</v>
      </c>
      <c r="J471" s="3" t="s">
        <v>111</v>
      </c>
      <c r="K471" s="3" t="s">
        <v>33</v>
      </c>
      <c r="L471" s="3" t="s">
        <v>34</v>
      </c>
      <c r="M471" s="3" t="s">
        <v>597</v>
      </c>
      <c r="N471" s="3">
        <v>11</v>
      </c>
      <c r="O471" s="3">
        <v>0.4</v>
      </c>
      <c r="P471" s="3">
        <v>3447.28</v>
      </c>
      <c r="Q471" s="3">
        <v>122.54</v>
      </c>
    </row>
    <row r="472" spans="1:17" x14ac:dyDescent="0.3">
      <c r="A472" s="3">
        <v>464</v>
      </c>
      <c r="B472" s="3" t="s">
        <v>856</v>
      </c>
      <c r="C472" s="3" t="s">
        <v>1503</v>
      </c>
      <c r="D472" s="3" t="s">
        <v>1055</v>
      </c>
      <c r="E472" s="3" t="s">
        <v>37</v>
      </c>
      <c r="F472" s="3" t="s">
        <v>857</v>
      </c>
      <c r="G472" s="3" t="s">
        <v>39</v>
      </c>
      <c r="H472" s="3" t="s">
        <v>90</v>
      </c>
      <c r="I472" s="3" t="s">
        <v>91</v>
      </c>
      <c r="J472" s="3" t="s">
        <v>92</v>
      </c>
      <c r="K472" s="3" t="s">
        <v>58</v>
      </c>
      <c r="L472" s="3" t="s">
        <v>199</v>
      </c>
      <c r="M472" s="3" t="s">
        <v>200</v>
      </c>
      <c r="N472" s="3">
        <v>1</v>
      </c>
      <c r="O472" s="3">
        <v>0</v>
      </c>
      <c r="P472" s="3">
        <v>307.52</v>
      </c>
      <c r="Q472" s="3">
        <v>77.540000000000006</v>
      </c>
    </row>
    <row r="473" spans="1:17" x14ac:dyDescent="0.3">
      <c r="A473" s="3">
        <v>465</v>
      </c>
      <c r="B473" s="3" t="s">
        <v>858</v>
      </c>
      <c r="C473" s="3" t="s">
        <v>1644</v>
      </c>
      <c r="D473" s="3" t="s">
        <v>1645</v>
      </c>
      <c r="E473" s="3" t="s">
        <v>37</v>
      </c>
      <c r="F473" s="3" t="s">
        <v>149</v>
      </c>
      <c r="G473" s="3" t="s">
        <v>21</v>
      </c>
      <c r="H473" s="3" t="s">
        <v>90</v>
      </c>
      <c r="I473" s="3" t="s">
        <v>169</v>
      </c>
      <c r="J473" s="3" t="s">
        <v>170</v>
      </c>
      <c r="K473" s="3" t="s">
        <v>25</v>
      </c>
      <c r="L473" s="3" t="s">
        <v>106</v>
      </c>
      <c r="M473" s="3" t="s">
        <v>107</v>
      </c>
      <c r="N473" s="3">
        <v>11</v>
      </c>
      <c r="O473" s="3">
        <v>0.1</v>
      </c>
      <c r="P473" s="3">
        <v>328.84</v>
      </c>
      <c r="Q473" s="3">
        <v>45.66</v>
      </c>
    </row>
    <row r="474" spans="1:17" x14ac:dyDescent="0.3">
      <c r="A474" s="3">
        <v>466</v>
      </c>
      <c r="B474" s="3" t="s">
        <v>1646</v>
      </c>
      <c r="C474" s="3" t="s">
        <v>1647</v>
      </c>
      <c r="D474" s="3" t="s">
        <v>939</v>
      </c>
      <c r="E474" s="3" t="s">
        <v>56</v>
      </c>
      <c r="F474" s="3" t="s">
        <v>857</v>
      </c>
      <c r="G474" s="3" t="s">
        <v>30</v>
      </c>
      <c r="H474" s="3" t="s">
        <v>40</v>
      </c>
      <c r="I474" s="3" t="s">
        <v>158</v>
      </c>
      <c r="J474" s="3" t="s">
        <v>159</v>
      </c>
      <c r="K474" s="3" t="s">
        <v>25</v>
      </c>
      <c r="L474" s="3" t="s">
        <v>116</v>
      </c>
      <c r="M474" s="3" t="s">
        <v>166</v>
      </c>
      <c r="N474" s="3">
        <v>7</v>
      </c>
      <c r="O474" s="3">
        <v>0.3</v>
      </c>
      <c r="P474" s="3">
        <v>439.72</v>
      </c>
      <c r="Q474" s="3">
        <v>-39.590000000000003</v>
      </c>
    </row>
    <row r="475" spans="1:17" x14ac:dyDescent="0.3">
      <c r="A475" s="3">
        <v>467</v>
      </c>
      <c r="B475" s="3" t="s">
        <v>859</v>
      </c>
      <c r="C475" s="3" t="s">
        <v>1191</v>
      </c>
      <c r="D475" s="3" t="s">
        <v>1648</v>
      </c>
      <c r="E475" s="3" t="s">
        <v>56</v>
      </c>
      <c r="F475" s="3" t="s">
        <v>860</v>
      </c>
      <c r="G475" s="3" t="s">
        <v>21</v>
      </c>
      <c r="H475" s="3" t="s">
        <v>90</v>
      </c>
      <c r="I475" s="3" t="s">
        <v>99</v>
      </c>
      <c r="J475" s="3" t="s">
        <v>100</v>
      </c>
      <c r="K475" s="3" t="s">
        <v>25</v>
      </c>
      <c r="L475" s="3" t="s">
        <v>74</v>
      </c>
      <c r="M475" s="3" t="s">
        <v>75</v>
      </c>
      <c r="N475" s="3">
        <v>4</v>
      </c>
      <c r="O475" s="3">
        <v>0.2</v>
      </c>
      <c r="P475" s="3">
        <v>156.58000000000001</v>
      </c>
      <c r="Q475" s="3">
        <v>-23.49</v>
      </c>
    </row>
    <row r="476" spans="1:17" x14ac:dyDescent="0.3">
      <c r="A476" s="3">
        <v>468</v>
      </c>
      <c r="B476" s="3" t="s">
        <v>861</v>
      </c>
      <c r="C476" s="3" t="s">
        <v>1138</v>
      </c>
      <c r="D476" s="3" t="s">
        <v>1649</v>
      </c>
      <c r="E476" s="3" t="s">
        <v>62</v>
      </c>
      <c r="F476" s="3" t="s">
        <v>862</v>
      </c>
      <c r="G476" s="3" t="s">
        <v>30</v>
      </c>
      <c r="H476" s="3" t="s">
        <v>22</v>
      </c>
      <c r="I476" s="3" t="s">
        <v>31</v>
      </c>
      <c r="J476" s="3" t="s">
        <v>32</v>
      </c>
      <c r="K476" s="3" t="s">
        <v>33</v>
      </c>
      <c r="L476" s="3" t="s">
        <v>64</v>
      </c>
      <c r="M476" s="3" t="s">
        <v>126</v>
      </c>
      <c r="N476" s="3">
        <v>7</v>
      </c>
      <c r="O476" s="3">
        <v>0</v>
      </c>
      <c r="P476" s="3">
        <v>3976.75</v>
      </c>
      <c r="Q476" s="3">
        <v>718.3</v>
      </c>
    </row>
    <row r="477" spans="1:17" x14ac:dyDescent="0.3">
      <c r="A477" s="3">
        <v>469</v>
      </c>
      <c r="B477" s="3" t="s">
        <v>863</v>
      </c>
      <c r="C477" s="3" t="s">
        <v>1650</v>
      </c>
      <c r="D477" s="3" t="s">
        <v>1651</v>
      </c>
      <c r="E477" s="3" t="s">
        <v>56</v>
      </c>
      <c r="F477" s="3" t="s">
        <v>864</v>
      </c>
      <c r="G477" s="3" t="s">
        <v>39</v>
      </c>
      <c r="H477" s="3" t="s">
        <v>90</v>
      </c>
      <c r="I477" s="3" t="s">
        <v>110</v>
      </c>
      <c r="J477" s="3" t="s">
        <v>111</v>
      </c>
      <c r="K477" s="3" t="s">
        <v>33</v>
      </c>
      <c r="L477" s="3" t="s">
        <v>49</v>
      </c>
      <c r="M477" s="3" t="s">
        <v>286</v>
      </c>
      <c r="N477" s="3">
        <v>5</v>
      </c>
      <c r="O477" s="3">
        <v>0.2</v>
      </c>
      <c r="P477" s="3">
        <v>1490.91</v>
      </c>
      <c r="Q477" s="3">
        <v>-193.75</v>
      </c>
    </row>
    <row r="478" spans="1:17" x14ac:dyDescent="0.3">
      <c r="A478" s="3">
        <v>470</v>
      </c>
      <c r="B478" s="3" t="s">
        <v>865</v>
      </c>
      <c r="C478" s="3" t="s">
        <v>1652</v>
      </c>
      <c r="D478" s="3" t="s">
        <v>1653</v>
      </c>
      <c r="E478" s="3" t="s">
        <v>19</v>
      </c>
      <c r="F478" s="3" t="s">
        <v>866</v>
      </c>
      <c r="G478" s="3" t="s">
        <v>39</v>
      </c>
      <c r="H478" s="3" t="s">
        <v>40</v>
      </c>
      <c r="I478" s="3" t="s">
        <v>158</v>
      </c>
      <c r="J478" s="3" t="s">
        <v>159</v>
      </c>
      <c r="K478" s="3" t="s">
        <v>25</v>
      </c>
      <c r="L478" s="3" t="s">
        <v>80</v>
      </c>
      <c r="M478" s="3" t="s">
        <v>81</v>
      </c>
      <c r="N478" s="3">
        <v>4</v>
      </c>
      <c r="O478" s="3">
        <v>0.4</v>
      </c>
      <c r="P478" s="3">
        <v>281.51</v>
      </c>
      <c r="Q478" s="3">
        <v>-25.12</v>
      </c>
    </row>
    <row r="479" spans="1:17" x14ac:dyDescent="0.3">
      <c r="A479" s="3">
        <v>471</v>
      </c>
      <c r="B479" s="3" t="s">
        <v>867</v>
      </c>
      <c r="C479" s="3" t="s">
        <v>1654</v>
      </c>
      <c r="D479" s="3" t="s">
        <v>1655</v>
      </c>
      <c r="E479" s="3" t="s">
        <v>19</v>
      </c>
      <c r="F479" s="3" t="s">
        <v>779</v>
      </c>
      <c r="G479" s="3" t="s">
        <v>39</v>
      </c>
      <c r="H479" s="3" t="s">
        <v>46</v>
      </c>
      <c r="I479" s="3" t="s">
        <v>146</v>
      </c>
      <c r="J479" s="3" t="s">
        <v>147</v>
      </c>
      <c r="K479" s="3" t="s">
        <v>33</v>
      </c>
      <c r="L479" s="3" t="s">
        <v>95</v>
      </c>
      <c r="M479" s="3" t="s">
        <v>96</v>
      </c>
      <c r="N479" s="3">
        <v>6</v>
      </c>
      <c r="O479" s="3">
        <v>0</v>
      </c>
      <c r="P479" s="3">
        <v>3633.75</v>
      </c>
      <c r="Q479" s="3">
        <v>473.68</v>
      </c>
    </row>
    <row r="480" spans="1:17" x14ac:dyDescent="0.3">
      <c r="A480" s="3">
        <v>472</v>
      </c>
      <c r="B480" s="3" t="s">
        <v>868</v>
      </c>
      <c r="C480" s="3" t="s">
        <v>1656</v>
      </c>
      <c r="D480" s="3" t="s">
        <v>1657</v>
      </c>
      <c r="E480" s="3" t="s">
        <v>19</v>
      </c>
      <c r="F480" s="3" t="s">
        <v>807</v>
      </c>
      <c r="G480" s="3" t="s">
        <v>21</v>
      </c>
      <c r="H480" s="3" t="s">
        <v>46</v>
      </c>
      <c r="I480" s="3" t="s">
        <v>47</v>
      </c>
      <c r="J480" s="3" t="s">
        <v>48</v>
      </c>
      <c r="K480" s="3" t="s">
        <v>25</v>
      </c>
      <c r="L480" s="3" t="s">
        <v>26</v>
      </c>
      <c r="M480" s="3" t="s">
        <v>27</v>
      </c>
      <c r="N480" s="3">
        <v>1</v>
      </c>
      <c r="O480" s="3">
        <v>0.15</v>
      </c>
      <c r="P480" s="3">
        <v>29.59</v>
      </c>
      <c r="Q480" s="3">
        <v>0.84</v>
      </c>
    </row>
    <row r="481" spans="1:17" x14ac:dyDescent="0.3">
      <c r="A481" s="3">
        <v>473</v>
      </c>
      <c r="B481" s="3" t="s">
        <v>869</v>
      </c>
      <c r="C481" s="3" t="s">
        <v>1658</v>
      </c>
      <c r="D481" s="3" t="s">
        <v>1148</v>
      </c>
      <c r="E481" s="3" t="s">
        <v>37</v>
      </c>
      <c r="F481" s="3" t="s">
        <v>336</v>
      </c>
      <c r="G481" s="3" t="s">
        <v>39</v>
      </c>
      <c r="H481" s="3" t="s">
        <v>46</v>
      </c>
      <c r="I481" s="3" t="s">
        <v>78</v>
      </c>
      <c r="J481" s="3" t="s">
        <v>79</v>
      </c>
      <c r="K481" s="3" t="s">
        <v>33</v>
      </c>
      <c r="L481" s="3" t="s">
        <v>64</v>
      </c>
      <c r="M481" s="3" t="s">
        <v>65</v>
      </c>
      <c r="N481" s="3">
        <v>11</v>
      </c>
      <c r="O481" s="3">
        <v>0.4</v>
      </c>
      <c r="P481" s="3">
        <v>5812.37</v>
      </c>
      <c r="Q481" s="3">
        <v>1274.8900000000001</v>
      </c>
    </row>
    <row r="482" spans="1:17" x14ac:dyDescent="0.3">
      <c r="A482" s="3">
        <v>474</v>
      </c>
      <c r="B482" s="3" t="s">
        <v>870</v>
      </c>
      <c r="C482" s="3" t="s">
        <v>1659</v>
      </c>
      <c r="D482" s="3" t="s">
        <v>1444</v>
      </c>
      <c r="E482" s="3" t="s">
        <v>62</v>
      </c>
      <c r="F482" s="3" t="s">
        <v>871</v>
      </c>
      <c r="G482" s="3" t="s">
        <v>21</v>
      </c>
      <c r="H482" s="3" t="s">
        <v>22</v>
      </c>
      <c r="I482" s="3" t="s">
        <v>84</v>
      </c>
      <c r="J482" s="3" t="s">
        <v>85</v>
      </c>
      <c r="K482" s="3" t="s">
        <v>58</v>
      </c>
      <c r="L482" s="3" t="s">
        <v>59</v>
      </c>
      <c r="M482" s="3" t="s">
        <v>220</v>
      </c>
      <c r="N482" s="3">
        <v>2</v>
      </c>
      <c r="O482" s="3">
        <v>0</v>
      </c>
      <c r="P482" s="3">
        <v>596.71</v>
      </c>
      <c r="Q482" s="3">
        <v>37.700000000000003</v>
      </c>
    </row>
    <row r="483" spans="1:17" x14ac:dyDescent="0.3">
      <c r="A483" s="3">
        <v>475</v>
      </c>
      <c r="B483" s="3" t="s">
        <v>872</v>
      </c>
      <c r="C483" s="3" t="s">
        <v>1660</v>
      </c>
      <c r="D483" s="3" t="s">
        <v>1412</v>
      </c>
      <c r="E483" s="3" t="s">
        <v>62</v>
      </c>
      <c r="F483" s="3" t="s">
        <v>873</v>
      </c>
      <c r="G483" s="3" t="s">
        <v>39</v>
      </c>
      <c r="H483" s="3" t="s">
        <v>46</v>
      </c>
      <c r="I483" s="3" t="s">
        <v>281</v>
      </c>
      <c r="J483" s="3" t="s">
        <v>282</v>
      </c>
      <c r="K483" s="3" t="s">
        <v>58</v>
      </c>
      <c r="L483" s="3" t="s">
        <v>217</v>
      </c>
      <c r="M483" s="3" t="s">
        <v>232</v>
      </c>
      <c r="N483" s="3">
        <v>3</v>
      </c>
      <c r="O483" s="3">
        <v>0.1</v>
      </c>
      <c r="P483" s="3">
        <v>233.39</v>
      </c>
      <c r="Q483" s="3">
        <v>77.47</v>
      </c>
    </row>
    <row r="484" spans="1:17" x14ac:dyDescent="0.3">
      <c r="A484" s="3">
        <v>476</v>
      </c>
      <c r="B484" s="3" t="s">
        <v>874</v>
      </c>
      <c r="C484" s="3" t="s">
        <v>1403</v>
      </c>
      <c r="D484" s="3" t="s">
        <v>1177</v>
      </c>
      <c r="E484" s="3" t="s">
        <v>37</v>
      </c>
      <c r="F484" s="3" t="s">
        <v>614</v>
      </c>
      <c r="G484" s="3" t="s">
        <v>39</v>
      </c>
      <c r="H484" s="3" t="s">
        <v>90</v>
      </c>
      <c r="I484" s="3" t="s">
        <v>91</v>
      </c>
      <c r="J484" s="3" t="s">
        <v>92</v>
      </c>
      <c r="K484" s="3" t="s">
        <v>25</v>
      </c>
      <c r="L484" s="3" t="s">
        <v>116</v>
      </c>
      <c r="M484" s="3" t="s">
        <v>166</v>
      </c>
      <c r="N484" s="3">
        <v>8</v>
      </c>
      <c r="O484" s="3">
        <v>0.15</v>
      </c>
      <c r="P484" s="3">
        <v>630.78</v>
      </c>
      <c r="Q484" s="3">
        <v>175.14</v>
      </c>
    </row>
    <row r="485" spans="1:17" x14ac:dyDescent="0.3">
      <c r="A485" s="3">
        <v>477</v>
      </c>
      <c r="B485" s="3" t="s">
        <v>875</v>
      </c>
      <c r="C485" s="3" t="s">
        <v>940</v>
      </c>
      <c r="D485" s="3" t="s">
        <v>1661</v>
      </c>
      <c r="E485" s="3" t="s">
        <v>62</v>
      </c>
      <c r="F485" s="3" t="s">
        <v>132</v>
      </c>
      <c r="G485" s="3" t="s">
        <v>39</v>
      </c>
      <c r="H485" s="3" t="s">
        <v>46</v>
      </c>
      <c r="I485" s="3" t="s">
        <v>257</v>
      </c>
      <c r="J485" s="3" t="s">
        <v>258</v>
      </c>
      <c r="K485" s="3" t="s">
        <v>25</v>
      </c>
      <c r="L485" s="3" t="s">
        <v>80</v>
      </c>
      <c r="M485" s="3" t="s">
        <v>81</v>
      </c>
      <c r="N485" s="3">
        <v>1</v>
      </c>
      <c r="O485" s="3">
        <v>0.1</v>
      </c>
      <c r="P485" s="3">
        <v>81</v>
      </c>
      <c r="Q485" s="3">
        <v>-7.96</v>
      </c>
    </row>
    <row r="486" spans="1:17" x14ac:dyDescent="0.3">
      <c r="A486" s="3">
        <v>478</v>
      </c>
      <c r="B486" s="3" t="s">
        <v>876</v>
      </c>
      <c r="C486" s="3" t="s">
        <v>1662</v>
      </c>
      <c r="D486" s="3" t="s">
        <v>1663</v>
      </c>
      <c r="E486" s="3" t="s">
        <v>56</v>
      </c>
      <c r="F486" s="3" t="s">
        <v>229</v>
      </c>
      <c r="G486" s="3" t="s">
        <v>39</v>
      </c>
      <c r="H486" s="3" t="s">
        <v>40</v>
      </c>
      <c r="I486" s="3" t="s">
        <v>185</v>
      </c>
      <c r="J486" s="3" t="s">
        <v>186</v>
      </c>
      <c r="K486" s="3" t="s">
        <v>25</v>
      </c>
      <c r="L486" s="3" t="s">
        <v>74</v>
      </c>
      <c r="M486" s="3" t="s">
        <v>180</v>
      </c>
      <c r="N486" s="3">
        <v>14</v>
      </c>
      <c r="O486" s="3">
        <v>0.15</v>
      </c>
      <c r="P486" s="3">
        <v>1220.5</v>
      </c>
      <c r="Q486" s="3">
        <v>-151.06</v>
      </c>
    </row>
    <row r="487" spans="1:17" x14ac:dyDescent="0.3">
      <c r="A487" s="3">
        <v>479</v>
      </c>
      <c r="B487" s="3" t="s">
        <v>877</v>
      </c>
      <c r="C487" s="3" t="s">
        <v>1478</v>
      </c>
      <c r="D487" s="3" t="s">
        <v>1664</v>
      </c>
      <c r="E487" s="3" t="s">
        <v>56</v>
      </c>
      <c r="F487" s="3" t="s">
        <v>878</v>
      </c>
      <c r="G487" s="3" t="s">
        <v>30</v>
      </c>
      <c r="H487" s="3" t="s">
        <v>22</v>
      </c>
      <c r="I487" s="3" t="s">
        <v>72</v>
      </c>
      <c r="J487" s="3" t="s">
        <v>73</v>
      </c>
      <c r="K487" s="3" t="s">
        <v>58</v>
      </c>
      <c r="L487" s="3" t="s">
        <v>217</v>
      </c>
      <c r="M487" s="3" t="s">
        <v>218</v>
      </c>
      <c r="N487" s="3">
        <v>6</v>
      </c>
      <c r="O487" s="3">
        <v>0</v>
      </c>
      <c r="P487" s="3">
        <v>2203.0300000000002</v>
      </c>
      <c r="Q487" s="3">
        <v>538.95000000000005</v>
      </c>
    </row>
    <row r="488" spans="1:17" x14ac:dyDescent="0.3">
      <c r="A488" s="3">
        <v>480</v>
      </c>
      <c r="B488" s="3" t="s">
        <v>879</v>
      </c>
      <c r="C488" s="3" t="s">
        <v>1393</v>
      </c>
      <c r="D488" s="3" t="s">
        <v>1665</v>
      </c>
      <c r="E488" s="3" t="s">
        <v>62</v>
      </c>
      <c r="F488" s="3" t="s">
        <v>880</v>
      </c>
      <c r="G488" s="3" t="s">
        <v>39</v>
      </c>
      <c r="H488" s="3" t="s">
        <v>46</v>
      </c>
      <c r="I488" s="3" t="s">
        <v>146</v>
      </c>
      <c r="J488" s="3" t="s">
        <v>147</v>
      </c>
      <c r="K488" s="3" t="s">
        <v>25</v>
      </c>
      <c r="L488" s="3" t="s">
        <v>116</v>
      </c>
      <c r="M488" s="3" t="s">
        <v>117</v>
      </c>
      <c r="N488" s="3">
        <v>11</v>
      </c>
      <c r="O488" s="3">
        <v>0</v>
      </c>
      <c r="P488" s="3">
        <v>597.54</v>
      </c>
      <c r="Q488" s="3">
        <v>-148.28</v>
      </c>
    </row>
    <row r="489" spans="1:17" x14ac:dyDescent="0.3">
      <c r="A489" s="3">
        <v>481</v>
      </c>
      <c r="B489" s="3" t="s">
        <v>881</v>
      </c>
      <c r="C489" s="3" t="s">
        <v>1666</v>
      </c>
      <c r="D489" s="3" t="s">
        <v>1461</v>
      </c>
      <c r="E489" s="3" t="s">
        <v>37</v>
      </c>
      <c r="F489" s="3" t="s">
        <v>141</v>
      </c>
      <c r="G489" s="3" t="s">
        <v>39</v>
      </c>
      <c r="H489" s="3" t="s">
        <v>22</v>
      </c>
      <c r="I489" s="3" t="s">
        <v>68</v>
      </c>
      <c r="J489" s="3" t="s">
        <v>69</v>
      </c>
      <c r="K489" s="3" t="s">
        <v>25</v>
      </c>
      <c r="L489" s="3" t="s">
        <v>53</v>
      </c>
      <c r="M489" s="3" t="s">
        <v>171</v>
      </c>
      <c r="N489" s="3">
        <v>10</v>
      </c>
      <c r="O489" s="3">
        <v>0.2</v>
      </c>
      <c r="P489" s="3">
        <v>779.44</v>
      </c>
      <c r="Q489" s="3">
        <v>16.29</v>
      </c>
    </row>
    <row r="490" spans="1:17" x14ac:dyDescent="0.3">
      <c r="A490" s="3">
        <v>482</v>
      </c>
      <c r="B490" s="3" t="s">
        <v>882</v>
      </c>
      <c r="C490" s="3" t="s">
        <v>1667</v>
      </c>
      <c r="D490" s="3" t="s">
        <v>1417</v>
      </c>
      <c r="E490" s="3" t="s">
        <v>19</v>
      </c>
      <c r="F490" s="3" t="s">
        <v>883</v>
      </c>
      <c r="G490" s="3" t="s">
        <v>39</v>
      </c>
      <c r="H490" s="3" t="s">
        <v>46</v>
      </c>
      <c r="I490" s="3" t="s">
        <v>78</v>
      </c>
      <c r="J490" s="3" t="s">
        <v>79</v>
      </c>
      <c r="K490" s="3" t="s">
        <v>33</v>
      </c>
      <c r="L490" s="3" t="s">
        <v>64</v>
      </c>
      <c r="M490" s="3" t="s">
        <v>126</v>
      </c>
      <c r="N490" s="3">
        <v>14</v>
      </c>
      <c r="O490" s="3">
        <v>0.1</v>
      </c>
      <c r="P490" s="3">
        <v>8445.82</v>
      </c>
      <c r="Q490" s="3">
        <v>-2006.38</v>
      </c>
    </row>
    <row r="491" spans="1:17" x14ac:dyDescent="0.3">
      <c r="A491" s="3">
        <v>483</v>
      </c>
      <c r="B491" s="3" t="s">
        <v>930</v>
      </c>
      <c r="C491" s="3" t="s">
        <v>1668</v>
      </c>
      <c r="D491" s="3" t="s">
        <v>1588</v>
      </c>
      <c r="E491" s="3" t="s">
        <v>62</v>
      </c>
      <c r="F491" s="3" t="s">
        <v>931</v>
      </c>
      <c r="G491" s="3" t="s">
        <v>21</v>
      </c>
      <c r="H491" s="3" t="s">
        <v>22</v>
      </c>
      <c r="I491" s="3" t="s">
        <v>84</v>
      </c>
      <c r="J491" s="3" t="s">
        <v>85</v>
      </c>
      <c r="K491" s="3" t="s">
        <v>33</v>
      </c>
      <c r="L491" s="3" t="s">
        <v>95</v>
      </c>
      <c r="M491" s="3" t="s">
        <v>262</v>
      </c>
      <c r="N491" s="3">
        <v>7</v>
      </c>
      <c r="O491" s="3">
        <v>0</v>
      </c>
      <c r="P491" s="3">
        <v>3011.86</v>
      </c>
      <c r="Q491" s="3">
        <v>-592.02</v>
      </c>
    </row>
    <row r="492" spans="1:17" x14ac:dyDescent="0.3">
      <c r="A492" s="3">
        <v>484</v>
      </c>
      <c r="B492" s="3" t="s">
        <v>884</v>
      </c>
      <c r="C492" s="3" t="s">
        <v>1011</v>
      </c>
      <c r="D492" s="3" t="s">
        <v>1012</v>
      </c>
      <c r="E492" s="3" t="s">
        <v>19</v>
      </c>
      <c r="F492" s="3" t="s">
        <v>347</v>
      </c>
      <c r="G492" s="3" t="s">
        <v>30</v>
      </c>
      <c r="H492" s="3" t="s">
        <v>90</v>
      </c>
      <c r="I492" s="3" t="s">
        <v>110</v>
      </c>
      <c r="J492" s="3" t="s">
        <v>111</v>
      </c>
      <c r="K492" s="3" t="s">
        <v>58</v>
      </c>
      <c r="L492" s="3" t="s">
        <v>217</v>
      </c>
      <c r="M492" s="3" t="s">
        <v>232</v>
      </c>
      <c r="N492" s="3">
        <v>4</v>
      </c>
      <c r="O492" s="3">
        <v>0.15</v>
      </c>
      <c r="P492" s="3">
        <v>456.7</v>
      </c>
      <c r="Q492" s="3">
        <v>-35.270000000000003</v>
      </c>
    </row>
    <row r="493" spans="1:17" x14ac:dyDescent="0.3">
      <c r="A493" s="3">
        <v>485</v>
      </c>
      <c r="B493" s="3" t="s">
        <v>885</v>
      </c>
      <c r="C493" s="3" t="s">
        <v>1103</v>
      </c>
      <c r="D493" s="3" t="s">
        <v>1669</v>
      </c>
      <c r="E493" s="3" t="s">
        <v>37</v>
      </c>
      <c r="F493" s="3" t="s">
        <v>330</v>
      </c>
      <c r="G493" s="3" t="s">
        <v>21</v>
      </c>
      <c r="H493" s="3" t="s">
        <v>40</v>
      </c>
      <c r="I493" s="3" t="s">
        <v>41</v>
      </c>
      <c r="J493" s="3" t="s">
        <v>42</v>
      </c>
      <c r="K493" s="3" t="s">
        <v>25</v>
      </c>
      <c r="L493" s="3" t="s">
        <v>26</v>
      </c>
      <c r="M493" s="3" t="s">
        <v>259</v>
      </c>
      <c r="N493" s="3">
        <v>13</v>
      </c>
      <c r="O493" s="3">
        <v>0.15</v>
      </c>
      <c r="P493" s="3">
        <v>238.63</v>
      </c>
      <c r="Q493" s="3">
        <v>80.099999999999994</v>
      </c>
    </row>
    <row r="494" spans="1:17" x14ac:dyDescent="0.3">
      <c r="A494" s="3">
        <v>486</v>
      </c>
      <c r="B494" s="3" t="s">
        <v>886</v>
      </c>
      <c r="C494" s="3" t="s">
        <v>1388</v>
      </c>
      <c r="D494" s="3" t="s">
        <v>1670</v>
      </c>
      <c r="E494" s="3" t="s">
        <v>62</v>
      </c>
      <c r="F494" s="3" t="s">
        <v>887</v>
      </c>
      <c r="G494" s="3" t="s">
        <v>39</v>
      </c>
      <c r="H494" s="3" t="s">
        <v>90</v>
      </c>
      <c r="I494" s="3" t="s">
        <v>169</v>
      </c>
      <c r="J494" s="3" t="s">
        <v>170</v>
      </c>
      <c r="K494" s="3" t="s">
        <v>33</v>
      </c>
      <c r="L494" s="3" t="s">
        <v>95</v>
      </c>
      <c r="M494" s="3" t="s">
        <v>96</v>
      </c>
      <c r="N494" s="3">
        <v>11</v>
      </c>
      <c r="O494" s="3">
        <v>0.3</v>
      </c>
      <c r="P494" s="3">
        <v>1684.15</v>
      </c>
      <c r="Q494" s="3">
        <v>294.85000000000002</v>
      </c>
    </row>
    <row r="495" spans="1:17" x14ac:dyDescent="0.3">
      <c r="A495" s="3">
        <v>487</v>
      </c>
      <c r="B495" s="3" t="s">
        <v>888</v>
      </c>
      <c r="C495" s="3" t="s">
        <v>1671</v>
      </c>
      <c r="D495" s="3" t="s">
        <v>1672</v>
      </c>
      <c r="E495" s="3" t="s">
        <v>37</v>
      </c>
      <c r="F495" s="3" t="s">
        <v>83</v>
      </c>
      <c r="G495" s="3" t="s">
        <v>39</v>
      </c>
      <c r="H495" s="3" t="s">
        <v>22</v>
      </c>
      <c r="I495" s="3" t="s">
        <v>72</v>
      </c>
      <c r="J495" s="3" t="s">
        <v>73</v>
      </c>
      <c r="K495" s="3" t="s">
        <v>58</v>
      </c>
      <c r="L495" s="3" t="s">
        <v>217</v>
      </c>
      <c r="M495" s="3" t="s">
        <v>218</v>
      </c>
      <c r="N495" s="3">
        <v>13</v>
      </c>
      <c r="O495" s="3">
        <v>0</v>
      </c>
      <c r="P495" s="3">
        <v>4045.2</v>
      </c>
      <c r="Q495" s="3">
        <v>-998.29</v>
      </c>
    </row>
    <row r="496" spans="1:17" x14ac:dyDescent="0.3">
      <c r="A496" s="3">
        <v>488</v>
      </c>
      <c r="B496" s="3" t="s">
        <v>889</v>
      </c>
      <c r="C496" s="3" t="s">
        <v>1673</v>
      </c>
      <c r="D496" s="3" t="s">
        <v>1674</v>
      </c>
      <c r="E496" s="3" t="s">
        <v>37</v>
      </c>
      <c r="F496" s="3" t="s">
        <v>340</v>
      </c>
      <c r="G496" s="3" t="s">
        <v>21</v>
      </c>
      <c r="H496" s="3" t="s">
        <v>40</v>
      </c>
      <c r="I496" s="3" t="s">
        <v>223</v>
      </c>
      <c r="J496" s="3" t="s">
        <v>224</v>
      </c>
      <c r="K496" s="3" t="s">
        <v>33</v>
      </c>
      <c r="L496" s="3" t="s">
        <v>95</v>
      </c>
      <c r="M496" s="3" t="s">
        <v>96</v>
      </c>
      <c r="N496" s="3">
        <v>8</v>
      </c>
      <c r="O496" s="3">
        <v>0.4</v>
      </c>
      <c r="P496" s="3">
        <v>4596.91</v>
      </c>
      <c r="Q496" s="3">
        <v>-785.37</v>
      </c>
    </row>
    <row r="497" spans="1:17" x14ac:dyDescent="0.3">
      <c r="A497" s="3">
        <v>489</v>
      </c>
      <c r="B497" s="3" t="s">
        <v>890</v>
      </c>
      <c r="C497" s="3" t="s">
        <v>1675</v>
      </c>
      <c r="D497" s="3" t="s">
        <v>1110</v>
      </c>
      <c r="E497" s="3" t="s">
        <v>37</v>
      </c>
      <c r="F497" s="3" t="s">
        <v>519</v>
      </c>
      <c r="G497" s="3" t="s">
        <v>39</v>
      </c>
      <c r="H497" s="3" t="s">
        <v>22</v>
      </c>
      <c r="I497" s="3" t="s">
        <v>72</v>
      </c>
      <c r="J497" s="3" t="s">
        <v>73</v>
      </c>
      <c r="K497" s="3" t="s">
        <v>33</v>
      </c>
      <c r="L497" s="3" t="s">
        <v>95</v>
      </c>
      <c r="M497" s="3" t="s">
        <v>120</v>
      </c>
      <c r="N497" s="3">
        <v>6</v>
      </c>
      <c r="O497" s="3">
        <v>0.15</v>
      </c>
      <c r="P497" s="3">
        <v>3725.7</v>
      </c>
      <c r="Q497" s="3">
        <v>1086.7</v>
      </c>
    </row>
    <row r="498" spans="1:17" x14ac:dyDescent="0.3">
      <c r="A498" s="3">
        <v>490</v>
      </c>
      <c r="B498" s="3" t="s">
        <v>891</v>
      </c>
      <c r="C498" s="3" t="s">
        <v>1419</v>
      </c>
      <c r="D498" s="3" t="s">
        <v>1676</v>
      </c>
      <c r="E498" s="3" t="s">
        <v>62</v>
      </c>
      <c r="F498" s="3" t="s">
        <v>285</v>
      </c>
      <c r="G498" s="3" t="s">
        <v>21</v>
      </c>
      <c r="H498" s="3" t="s">
        <v>90</v>
      </c>
      <c r="I498" s="3" t="s">
        <v>104</v>
      </c>
      <c r="J498" s="3" t="s">
        <v>105</v>
      </c>
      <c r="K498" s="3" t="s">
        <v>25</v>
      </c>
      <c r="L498" s="3" t="s">
        <v>74</v>
      </c>
      <c r="M498" s="3" t="s">
        <v>75</v>
      </c>
      <c r="N498" s="3">
        <v>11</v>
      </c>
      <c r="O498" s="3">
        <v>0.4</v>
      </c>
      <c r="P498" s="3">
        <v>746.57</v>
      </c>
      <c r="Q498" s="3">
        <v>-162.80000000000001</v>
      </c>
    </row>
    <row r="499" spans="1:17" x14ac:dyDescent="0.3">
      <c r="A499" s="3">
        <v>491</v>
      </c>
      <c r="B499" s="3" t="s">
        <v>892</v>
      </c>
      <c r="C499" s="3" t="s">
        <v>1677</v>
      </c>
      <c r="D499" s="3" t="s">
        <v>1678</v>
      </c>
      <c r="E499" s="3" t="s">
        <v>62</v>
      </c>
      <c r="F499" s="3" t="s">
        <v>466</v>
      </c>
      <c r="G499" s="3" t="s">
        <v>30</v>
      </c>
      <c r="H499" s="3" t="s">
        <v>90</v>
      </c>
      <c r="I499" s="3" t="s">
        <v>99</v>
      </c>
      <c r="J499" s="3" t="s">
        <v>100</v>
      </c>
      <c r="K499" s="3" t="s">
        <v>33</v>
      </c>
      <c r="L499" s="3" t="s">
        <v>34</v>
      </c>
      <c r="M499" s="3" t="s">
        <v>597</v>
      </c>
      <c r="N499" s="3">
        <v>1</v>
      </c>
      <c r="O499" s="3">
        <v>0.4</v>
      </c>
      <c r="P499" s="3">
        <v>284.26</v>
      </c>
      <c r="Q499" s="3">
        <v>7.01</v>
      </c>
    </row>
    <row r="500" spans="1:17" x14ac:dyDescent="0.3">
      <c r="A500" s="3">
        <v>492</v>
      </c>
      <c r="B500" s="3" t="s">
        <v>893</v>
      </c>
      <c r="C500" s="3" t="s">
        <v>1679</v>
      </c>
      <c r="D500" s="3" t="s">
        <v>1680</v>
      </c>
      <c r="E500" s="3" t="s">
        <v>56</v>
      </c>
      <c r="F500" s="3" t="s">
        <v>894</v>
      </c>
      <c r="G500" s="3" t="s">
        <v>21</v>
      </c>
      <c r="H500" s="3" t="s">
        <v>40</v>
      </c>
      <c r="I500" s="3" t="s">
        <v>41</v>
      </c>
      <c r="J500" s="3" t="s">
        <v>42</v>
      </c>
      <c r="K500" s="3" t="s">
        <v>33</v>
      </c>
      <c r="L500" s="3" t="s">
        <v>95</v>
      </c>
      <c r="M500" s="3" t="s">
        <v>96</v>
      </c>
      <c r="N500" s="3">
        <v>10</v>
      </c>
      <c r="O500" s="3">
        <v>0</v>
      </c>
      <c r="P500" s="3">
        <v>1683.67</v>
      </c>
      <c r="Q500" s="3">
        <v>110.46</v>
      </c>
    </row>
    <row r="501" spans="1:17" x14ac:dyDescent="0.3">
      <c r="A501" s="3">
        <v>493</v>
      </c>
      <c r="B501" s="3" t="s">
        <v>895</v>
      </c>
      <c r="C501" s="3" t="s">
        <v>1681</v>
      </c>
      <c r="D501" s="3" t="s">
        <v>1682</v>
      </c>
      <c r="E501" s="3" t="s">
        <v>37</v>
      </c>
      <c r="F501" s="3" t="s">
        <v>268</v>
      </c>
      <c r="G501" s="3" t="s">
        <v>39</v>
      </c>
      <c r="H501" s="3" t="s">
        <v>22</v>
      </c>
      <c r="I501" s="3" t="s">
        <v>72</v>
      </c>
      <c r="J501" s="3" t="s">
        <v>73</v>
      </c>
      <c r="K501" s="3" t="s">
        <v>33</v>
      </c>
      <c r="L501" s="3" t="s">
        <v>49</v>
      </c>
      <c r="M501" s="3" t="s">
        <v>478</v>
      </c>
      <c r="N501" s="3">
        <v>2</v>
      </c>
      <c r="O501" s="3">
        <v>0</v>
      </c>
      <c r="P501" s="3">
        <v>1179.92</v>
      </c>
      <c r="Q501" s="3">
        <v>-274.54000000000002</v>
      </c>
    </row>
    <row r="502" spans="1:17" x14ac:dyDescent="0.3">
      <c r="A502" s="3">
        <v>494</v>
      </c>
      <c r="B502" s="3" t="s">
        <v>896</v>
      </c>
      <c r="C502" s="3" t="s">
        <v>1683</v>
      </c>
      <c r="D502" s="3" t="s">
        <v>1229</v>
      </c>
      <c r="E502" s="3" t="s">
        <v>56</v>
      </c>
      <c r="F502" s="3" t="s">
        <v>261</v>
      </c>
      <c r="G502" s="3" t="s">
        <v>39</v>
      </c>
      <c r="H502" s="3" t="s">
        <v>22</v>
      </c>
      <c r="I502" s="3" t="s">
        <v>72</v>
      </c>
      <c r="J502" s="3" t="s">
        <v>73</v>
      </c>
      <c r="K502" s="3" t="s">
        <v>58</v>
      </c>
      <c r="L502" s="3" t="s">
        <v>217</v>
      </c>
      <c r="M502" s="3" t="s">
        <v>218</v>
      </c>
      <c r="N502" s="3">
        <v>4</v>
      </c>
      <c r="O502" s="3">
        <v>0.15</v>
      </c>
      <c r="P502" s="3">
        <v>1664.53</v>
      </c>
      <c r="Q502" s="3">
        <v>-93.38</v>
      </c>
    </row>
    <row r="503" spans="1:17" x14ac:dyDescent="0.3">
      <c r="A503" s="3">
        <v>495</v>
      </c>
      <c r="B503" s="3" t="s">
        <v>897</v>
      </c>
      <c r="C503" s="3" t="s">
        <v>1347</v>
      </c>
      <c r="D503" s="3" t="s">
        <v>1046</v>
      </c>
      <c r="E503" s="3" t="s">
        <v>56</v>
      </c>
      <c r="F503" s="3" t="s">
        <v>466</v>
      </c>
      <c r="G503" s="3" t="s">
        <v>30</v>
      </c>
      <c r="H503" s="3" t="s">
        <v>22</v>
      </c>
      <c r="I503" s="3" t="s">
        <v>84</v>
      </c>
      <c r="J503" s="3" t="s">
        <v>85</v>
      </c>
      <c r="K503" s="3" t="s">
        <v>25</v>
      </c>
      <c r="L503" s="3" t="s">
        <v>26</v>
      </c>
      <c r="M503" s="3" t="s">
        <v>259</v>
      </c>
      <c r="N503" s="3">
        <v>14</v>
      </c>
      <c r="O503" s="3">
        <v>0.3</v>
      </c>
      <c r="P503" s="3">
        <v>338.51</v>
      </c>
      <c r="Q503" s="3">
        <v>73.69</v>
      </c>
    </row>
    <row r="504" spans="1:17" x14ac:dyDescent="0.3">
      <c r="A504" s="3">
        <v>496</v>
      </c>
      <c r="B504" s="3" t="s">
        <v>898</v>
      </c>
      <c r="C504" s="3" t="s">
        <v>1493</v>
      </c>
      <c r="D504" s="3" t="s">
        <v>1661</v>
      </c>
      <c r="E504" s="3" t="s">
        <v>56</v>
      </c>
      <c r="F504" s="3" t="s">
        <v>899</v>
      </c>
      <c r="G504" s="3" t="s">
        <v>39</v>
      </c>
      <c r="H504" s="3" t="s">
        <v>90</v>
      </c>
      <c r="I504" s="3" t="s">
        <v>99</v>
      </c>
      <c r="J504" s="3" t="s">
        <v>100</v>
      </c>
      <c r="K504" s="3" t="s">
        <v>58</v>
      </c>
      <c r="L504" s="3" t="s">
        <v>86</v>
      </c>
      <c r="M504" s="3" t="s">
        <v>211</v>
      </c>
      <c r="N504" s="3">
        <v>14</v>
      </c>
      <c r="O504" s="3">
        <v>0.1</v>
      </c>
      <c r="P504" s="3">
        <v>2752.73</v>
      </c>
      <c r="Q504" s="3">
        <v>120.5</v>
      </c>
    </row>
    <row r="505" spans="1:17" x14ac:dyDescent="0.3">
      <c r="A505" s="3">
        <v>497</v>
      </c>
      <c r="B505" s="3" t="s">
        <v>900</v>
      </c>
      <c r="C505" s="3" t="s">
        <v>1684</v>
      </c>
      <c r="D505" s="3" t="s">
        <v>1467</v>
      </c>
      <c r="E505" s="3" t="s">
        <v>62</v>
      </c>
      <c r="F505" s="3" t="s">
        <v>276</v>
      </c>
      <c r="G505" s="3" t="s">
        <v>39</v>
      </c>
      <c r="H505" s="3" t="s">
        <v>22</v>
      </c>
      <c r="I505" s="3" t="s">
        <v>84</v>
      </c>
      <c r="J505" s="3" t="s">
        <v>85</v>
      </c>
      <c r="K505" s="3" t="s">
        <v>58</v>
      </c>
      <c r="L505" s="3" t="s">
        <v>86</v>
      </c>
      <c r="M505" s="3" t="s">
        <v>211</v>
      </c>
      <c r="N505" s="3">
        <v>2</v>
      </c>
      <c r="O505" s="3">
        <v>0.2</v>
      </c>
      <c r="P505" s="3">
        <v>92.13</v>
      </c>
      <c r="Q505" s="3">
        <v>30.77</v>
      </c>
    </row>
    <row r="506" spans="1:17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x14ac:dyDescent="0.3">
      <c r="A507" s="3">
        <v>498</v>
      </c>
      <c r="B507" s="3" t="s">
        <v>901</v>
      </c>
      <c r="C507" s="3" t="s">
        <v>1052</v>
      </c>
      <c r="D507" s="3" t="s">
        <v>1685</v>
      </c>
      <c r="E507" s="3" t="s">
        <v>62</v>
      </c>
      <c r="F507" s="3" t="s">
        <v>866</v>
      </c>
      <c r="G507" s="3" t="s">
        <v>39</v>
      </c>
      <c r="H507" s="3" t="s">
        <v>46</v>
      </c>
      <c r="I507" s="3" t="s">
        <v>146</v>
      </c>
      <c r="J507" s="3" t="s">
        <v>147</v>
      </c>
      <c r="K507" s="3" t="s">
        <v>25</v>
      </c>
      <c r="L507" s="3" t="s">
        <v>74</v>
      </c>
      <c r="M507" s="3" t="s">
        <v>180</v>
      </c>
      <c r="N507" s="3">
        <v>11</v>
      </c>
      <c r="O507" s="3">
        <v>0.1</v>
      </c>
      <c r="P507" s="3">
        <v>1158.1500000000001</v>
      </c>
      <c r="Q507" s="3">
        <v>73.95</v>
      </c>
    </row>
    <row r="508" spans="1:17" x14ac:dyDescent="0.3">
      <c r="A508" s="3">
        <v>499</v>
      </c>
      <c r="B508" s="3" t="s">
        <v>902</v>
      </c>
      <c r="C508" s="3" t="s">
        <v>1088</v>
      </c>
      <c r="D508" s="3" t="s">
        <v>1686</v>
      </c>
      <c r="E508" s="3" t="s">
        <v>56</v>
      </c>
      <c r="F508" s="3" t="s">
        <v>903</v>
      </c>
      <c r="G508" s="3" t="s">
        <v>21</v>
      </c>
      <c r="H508" s="3" t="s">
        <v>22</v>
      </c>
      <c r="I508" s="3" t="s">
        <v>31</v>
      </c>
      <c r="J508" s="3" t="s">
        <v>32</v>
      </c>
      <c r="K508" s="3" t="s">
        <v>33</v>
      </c>
      <c r="L508" s="3" t="s">
        <v>34</v>
      </c>
      <c r="M508" s="3" t="s">
        <v>597</v>
      </c>
      <c r="N508" s="3">
        <v>11</v>
      </c>
      <c r="O508" s="3">
        <v>0.15</v>
      </c>
      <c r="P508" s="3">
        <v>5370.25</v>
      </c>
      <c r="Q508" s="3">
        <v>-197.22</v>
      </c>
    </row>
    <row r="509" spans="1:17" x14ac:dyDescent="0.3">
      <c r="A509" s="3">
        <v>500</v>
      </c>
      <c r="B509" s="3" t="s">
        <v>904</v>
      </c>
      <c r="C509" s="3" t="s">
        <v>1664</v>
      </c>
      <c r="D509" s="3" t="s">
        <v>1687</v>
      </c>
      <c r="E509" s="3" t="s">
        <v>19</v>
      </c>
      <c r="F509" s="3" t="s">
        <v>519</v>
      </c>
      <c r="G509" s="3" t="s">
        <v>30</v>
      </c>
      <c r="H509" s="3" t="s">
        <v>40</v>
      </c>
      <c r="I509" s="3" t="s">
        <v>114</v>
      </c>
      <c r="J509" s="3" t="s">
        <v>115</v>
      </c>
      <c r="K509" s="3" t="s">
        <v>58</v>
      </c>
      <c r="L509" s="3" t="s">
        <v>59</v>
      </c>
      <c r="M509" s="3" t="s">
        <v>60</v>
      </c>
      <c r="N509" s="3">
        <v>5</v>
      </c>
      <c r="O509" s="3">
        <v>0.4</v>
      </c>
      <c r="P509" s="3">
        <v>781.24</v>
      </c>
      <c r="Q509" s="3">
        <v>159.69999999999999</v>
      </c>
    </row>
    <row r="510" spans="1:17" x14ac:dyDescent="0.3">
      <c r="A510" s="3">
        <v>501</v>
      </c>
      <c r="B510" s="3" t="s">
        <v>905</v>
      </c>
      <c r="C510" s="3" t="s">
        <v>1688</v>
      </c>
      <c r="D510" s="3" t="s">
        <v>1485</v>
      </c>
      <c r="E510" s="3" t="s">
        <v>56</v>
      </c>
      <c r="F510" s="3" t="s">
        <v>268</v>
      </c>
      <c r="G510" s="3" t="s">
        <v>39</v>
      </c>
      <c r="H510" s="3" t="s">
        <v>40</v>
      </c>
      <c r="I510" s="3" t="s">
        <v>114</v>
      </c>
      <c r="J510" s="3" t="s">
        <v>115</v>
      </c>
      <c r="K510" s="3" t="s">
        <v>33</v>
      </c>
      <c r="L510" s="3" t="s">
        <v>64</v>
      </c>
      <c r="M510" s="3" t="s">
        <v>65</v>
      </c>
      <c r="N510" s="3">
        <v>9</v>
      </c>
      <c r="O510" s="3">
        <v>0.3</v>
      </c>
      <c r="P510" s="3">
        <v>303.79000000000002</v>
      </c>
      <c r="Q510" s="3">
        <v>-54.68</v>
      </c>
    </row>
    <row r="511" spans="1:17" x14ac:dyDescent="0.3">
      <c r="A511" s="3">
        <v>502</v>
      </c>
      <c r="B511" s="3" t="s">
        <v>906</v>
      </c>
      <c r="C511" s="3" t="s">
        <v>1191</v>
      </c>
      <c r="D511" s="3" t="s">
        <v>1648</v>
      </c>
      <c r="E511" s="3" t="s">
        <v>62</v>
      </c>
      <c r="F511" s="3" t="s">
        <v>412</v>
      </c>
      <c r="G511" s="3" t="s">
        <v>21</v>
      </c>
      <c r="H511" s="3" t="s">
        <v>90</v>
      </c>
      <c r="I511" s="3" t="s">
        <v>99</v>
      </c>
      <c r="J511" s="3" t="s">
        <v>100</v>
      </c>
      <c r="K511" s="3" t="s">
        <v>25</v>
      </c>
      <c r="L511" s="3" t="s">
        <v>80</v>
      </c>
      <c r="M511" s="3" t="s">
        <v>150</v>
      </c>
      <c r="N511" s="3">
        <v>12</v>
      </c>
      <c r="O511" s="3">
        <v>0.15</v>
      </c>
      <c r="P511" s="3">
        <v>935.85</v>
      </c>
      <c r="Q511" s="3">
        <v>-184.75</v>
      </c>
    </row>
    <row r="512" spans="1:17" x14ac:dyDescent="0.3">
      <c r="A512" s="3">
        <v>503</v>
      </c>
      <c r="B512" s="3" t="s">
        <v>907</v>
      </c>
      <c r="C512" s="3" t="s">
        <v>1689</v>
      </c>
      <c r="D512" s="3" t="s">
        <v>1690</v>
      </c>
      <c r="E512" s="3" t="s">
        <v>62</v>
      </c>
      <c r="F512" s="3" t="s">
        <v>276</v>
      </c>
      <c r="G512" s="3" t="s">
        <v>30</v>
      </c>
      <c r="H512" s="3" t="s">
        <v>40</v>
      </c>
      <c r="I512" s="3" t="s">
        <v>158</v>
      </c>
      <c r="J512" s="3" t="s">
        <v>159</v>
      </c>
      <c r="K512" s="3" t="s">
        <v>33</v>
      </c>
      <c r="L512" s="3" t="s">
        <v>95</v>
      </c>
      <c r="M512" s="3" t="s">
        <v>370</v>
      </c>
      <c r="N512" s="3">
        <v>11</v>
      </c>
      <c r="O512" s="3">
        <v>0.1</v>
      </c>
      <c r="P512" s="3">
        <v>6447.64</v>
      </c>
      <c r="Q512" s="3">
        <v>-1278.8499999999999</v>
      </c>
    </row>
    <row r="513" spans="1:17" x14ac:dyDescent="0.3">
      <c r="A513" s="3">
        <v>504</v>
      </c>
      <c r="B513" s="3" t="s">
        <v>908</v>
      </c>
      <c r="C513" s="3" t="s">
        <v>1691</v>
      </c>
      <c r="D513" s="3" t="s">
        <v>1164</v>
      </c>
      <c r="E513" s="3" t="s">
        <v>62</v>
      </c>
      <c r="F513" s="3" t="s">
        <v>790</v>
      </c>
      <c r="G513" s="3" t="s">
        <v>21</v>
      </c>
      <c r="H513" s="3" t="s">
        <v>22</v>
      </c>
      <c r="I513" s="3" t="s">
        <v>68</v>
      </c>
      <c r="J513" s="3" t="s">
        <v>69</v>
      </c>
      <c r="K513" s="3" t="s">
        <v>58</v>
      </c>
      <c r="L513" s="3" t="s">
        <v>217</v>
      </c>
      <c r="M513" s="3" t="s">
        <v>218</v>
      </c>
      <c r="N513" s="3">
        <v>14</v>
      </c>
      <c r="O513" s="3">
        <v>0.1</v>
      </c>
      <c r="P513" s="3">
        <v>3276.48</v>
      </c>
      <c r="Q513" s="3">
        <v>-423.31</v>
      </c>
    </row>
    <row r="514" spans="1:17" x14ac:dyDescent="0.3">
      <c r="A514" s="3">
        <v>505</v>
      </c>
      <c r="B514" s="3" t="s">
        <v>909</v>
      </c>
      <c r="C514" s="3" t="s">
        <v>1692</v>
      </c>
      <c r="D514" s="3" t="s">
        <v>1560</v>
      </c>
      <c r="E514" s="3" t="s">
        <v>37</v>
      </c>
      <c r="F514" s="3" t="s">
        <v>903</v>
      </c>
      <c r="G514" s="3" t="s">
        <v>30</v>
      </c>
      <c r="H514" s="3" t="s">
        <v>90</v>
      </c>
      <c r="I514" s="3" t="s">
        <v>110</v>
      </c>
      <c r="J514" s="3" t="s">
        <v>111</v>
      </c>
      <c r="K514" s="3" t="s">
        <v>58</v>
      </c>
      <c r="L514" s="3" t="s">
        <v>199</v>
      </c>
      <c r="M514" s="3" t="s">
        <v>571</v>
      </c>
      <c r="N514" s="3">
        <v>8</v>
      </c>
      <c r="O514" s="3">
        <v>0.4</v>
      </c>
      <c r="P514" s="3">
        <v>1909.79</v>
      </c>
      <c r="Q514" s="3">
        <v>-211.71</v>
      </c>
    </row>
    <row r="515" spans="1:17" x14ac:dyDescent="0.3">
      <c r="A515" s="3">
        <v>506</v>
      </c>
      <c r="B515" s="3" t="s">
        <v>910</v>
      </c>
      <c r="C515" s="3" t="s">
        <v>1693</v>
      </c>
      <c r="D515" s="3" t="s">
        <v>1694</v>
      </c>
      <c r="E515" s="3" t="s">
        <v>19</v>
      </c>
      <c r="F515" s="3" t="s">
        <v>278</v>
      </c>
      <c r="G515" s="3" t="s">
        <v>30</v>
      </c>
      <c r="H515" s="3" t="s">
        <v>22</v>
      </c>
      <c r="I515" s="3" t="s">
        <v>72</v>
      </c>
      <c r="J515" s="3" t="s">
        <v>73</v>
      </c>
      <c r="K515" s="3" t="s">
        <v>58</v>
      </c>
      <c r="L515" s="3" t="s">
        <v>217</v>
      </c>
      <c r="M515" s="3" t="s">
        <v>218</v>
      </c>
      <c r="N515" s="3">
        <v>10</v>
      </c>
      <c r="O515" s="3">
        <v>0.2</v>
      </c>
      <c r="P515" s="3">
        <v>4430.3500000000004</v>
      </c>
      <c r="Q515" s="3">
        <v>84.16</v>
      </c>
    </row>
    <row r="516" spans="1:17" x14ac:dyDescent="0.3">
      <c r="A516" s="3">
        <v>507</v>
      </c>
      <c r="B516" s="3" t="s">
        <v>911</v>
      </c>
      <c r="C516" s="3" t="s">
        <v>1042</v>
      </c>
      <c r="D516" s="3" t="s">
        <v>1695</v>
      </c>
      <c r="E516" s="3" t="s">
        <v>37</v>
      </c>
      <c r="F516" s="3" t="s">
        <v>280</v>
      </c>
      <c r="G516" s="3" t="s">
        <v>39</v>
      </c>
      <c r="H516" s="3" t="s">
        <v>90</v>
      </c>
      <c r="I516" s="3" t="s">
        <v>99</v>
      </c>
      <c r="J516" s="3" t="s">
        <v>100</v>
      </c>
      <c r="K516" s="3" t="s">
        <v>25</v>
      </c>
      <c r="L516" s="3" t="s">
        <v>80</v>
      </c>
      <c r="M516" s="3" t="s">
        <v>81</v>
      </c>
      <c r="N516" s="3">
        <v>6</v>
      </c>
      <c r="O516" s="3">
        <v>0.4</v>
      </c>
      <c r="P516" s="3">
        <v>584.84</v>
      </c>
      <c r="Q516" s="3">
        <v>-100.19</v>
      </c>
    </row>
    <row r="517" spans="1:17" x14ac:dyDescent="0.3">
      <c r="A517" s="3">
        <v>508</v>
      </c>
      <c r="B517" s="3" t="s">
        <v>912</v>
      </c>
      <c r="C517" s="3" t="s">
        <v>1573</v>
      </c>
      <c r="D517" s="3" t="s">
        <v>1347</v>
      </c>
      <c r="E517" s="3" t="s">
        <v>37</v>
      </c>
      <c r="F517" s="3" t="s">
        <v>462</v>
      </c>
      <c r="G517" s="3" t="s">
        <v>30</v>
      </c>
      <c r="H517" s="3" t="s">
        <v>90</v>
      </c>
      <c r="I517" s="3" t="s">
        <v>104</v>
      </c>
      <c r="J517" s="3" t="s">
        <v>105</v>
      </c>
      <c r="K517" s="3" t="s">
        <v>25</v>
      </c>
      <c r="L517" s="3" t="s">
        <v>106</v>
      </c>
      <c r="M517" s="3" t="s">
        <v>136</v>
      </c>
      <c r="N517" s="3">
        <v>8</v>
      </c>
      <c r="O517" s="3">
        <v>0.1</v>
      </c>
      <c r="P517" s="3">
        <v>133.72999999999999</v>
      </c>
      <c r="Q517" s="3">
        <v>-20.89</v>
      </c>
    </row>
    <row r="518" spans="1:17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x14ac:dyDescent="0.3">
      <c r="A519" s="3">
        <v>509</v>
      </c>
      <c r="B519" s="3" t="s">
        <v>913</v>
      </c>
      <c r="C519" s="3" t="s">
        <v>1696</v>
      </c>
      <c r="D519" s="3" t="s">
        <v>1471</v>
      </c>
      <c r="E519" s="3" t="s">
        <v>19</v>
      </c>
      <c r="F519" s="3" t="s">
        <v>253</v>
      </c>
      <c r="G519" s="3" t="s">
        <v>39</v>
      </c>
      <c r="H519" s="3" t="s">
        <v>40</v>
      </c>
      <c r="I519" s="3" t="s">
        <v>114</v>
      </c>
      <c r="J519" s="3" t="s">
        <v>115</v>
      </c>
      <c r="K519" s="3" t="s">
        <v>25</v>
      </c>
      <c r="L519" s="3" t="s">
        <v>116</v>
      </c>
      <c r="M519" s="3" t="s">
        <v>166</v>
      </c>
      <c r="N519" s="3">
        <v>11</v>
      </c>
      <c r="O519" s="3">
        <v>0</v>
      </c>
      <c r="P519" s="3">
        <v>227.87</v>
      </c>
      <c r="Q519" s="3">
        <v>53.34</v>
      </c>
    </row>
    <row r="520" spans="1:17" x14ac:dyDescent="0.3">
      <c r="A520" s="3">
        <v>510</v>
      </c>
      <c r="B520" s="3" t="s">
        <v>914</v>
      </c>
      <c r="C520" s="3" t="s">
        <v>1561</v>
      </c>
      <c r="D520" s="3" t="s">
        <v>1327</v>
      </c>
      <c r="E520" s="3" t="s">
        <v>62</v>
      </c>
      <c r="F520" s="3" t="s">
        <v>300</v>
      </c>
      <c r="G520" s="3" t="s">
        <v>30</v>
      </c>
      <c r="H520" s="3" t="s">
        <v>22</v>
      </c>
      <c r="I520" s="3" t="s">
        <v>31</v>
      </c>
      <c r="J520" s="3" t="s">
        <v>32</v>
      </c>
      <c r="K520" s="3" t="s">
        <v>25</v>
      </c>
      <c r="L520" s="3" t="s">
        <v>106</v>
      </c>
      <c r="M520" s="3" t="s">
        <v>107</v>
      </c>
      <c r="N520" s="3">
        <v>1</v>
      </c>
      <c r="O520" s="3">
        <v>0.15</v>
      </c>
      <c r="P520" s="3">
        <v>88.69</v>
      </c>
      <c r="Q520" s="3">
        <v>25.52</v>
      </c>
    </row>
    <row r="521" spans="1:17" x14ac:dyDescent="0.3">
      <c r="A521" s="3">
        <v>511</v>
      </c>
      <c r="B521" s="3" t="s">
        <v>915</v>
      </c>
      <c r="C521" s="3" t="s">
        <v>1697</v>
      </c>
      <c r="D521" s="3" t="s">
        <v>1698</v>
      </c>
      <c r="E521" s="3" t="s">
        <v>56</v>
      </c>
      <c r="F521" s="3" t="s">
        <v>177</v>
      </c>
      <c r="G521" s="3" t="s">
        <v>39</v>
      </c>
      <c r="H521" s="3" t="s">
        <v>22</v>
      </c>
      <c r="I521" s="3" t="s">
        <v>31</v>
      </c>
      <c r="J521" s="3" t="s">
        <v>32</v>
      </c>
      <c r="K521" s="3" t="s">
        <v>25</v>
      </c>
      <c r="L521" s="3" t="s">
        <v>116</v>
      </c>
      <c r="M521" s="3" t="s">
        <v>117</v>
      </c>
      <c r="N521" s="3">
        <v>2</v>
      </c>
      <c r="O521" s="3">
        <v>0</v>
      </c>
      <c r="P521" s="3">
        <v>43.42</v>
      </c>
      <c r="Q521" s="3">
        <v>11.83</v>
      </c>
    </row>
    <row r="522" spans="1:17" x14ac:dyDescent="0.3">
      <c r="A522" s="3">
        <v>512</v>
      </c>
      <c r="B522" s="3" t="s">
        <v>916</v>
      </c>
      <c r="C522" s="3" t="s">
        <v>1443</v>
      </c>
      <c r="D522" s="3" t="s">
        <v>1517</v>
      </c>
      <c r="E522" s="3" t="s">
        <v>37</v>
      </c>
      <c r="F522" s="3" t="s">
        <v>817</v>
      </c>
      <c r="G522" s="3" t="s">
        <v>30</v>
      </c>
      <c r="H522" s="3" t="s">
        <v>90</v>
      </c>
      <c r="I522" s="3" t="s">
        <v>169</v>
      </c>
      <c r="J522" s="3" t="s">
        <v>170</v>
      </c>
      <c r="K522" s="3" t="s">
        <v>33</v>
      </c>
      <c r="L522" s="3" t="s">
        <v>64</v>
      </c>
      <c r="M522" s="3" t="s">
        <v>269</v>
      </c>
      <c r="N522" s="3">
        <v>14</v>
      </c>
      <c r="O522" s="3">
        <v>0.3</v>
      </c>
      <c r="P522" s="3">
        <v>2054.66</v>
      </c>
      <c r="Q522" s="3">
        <v>434.63</v>
      </c>
    </row>
    <row r="523" spans="1:17" x14ac:dyDescent="0.3">
      <c r="A523" s="3">
        <v>513</v>
      </c>
      <c r="B523" s="3" t="s">
        <v>917</v>
      </c>
      <c r="C523" s="3" t="s">
        <v>1699</v>
      </c>
      <c r="D523" s="3" t="s">
        <v>1490</v>
      </c>
      <c r="E523" s="3" t="s">
        <v>56</v>
      </c>
      <c r="F523" s="3" t="s">
        <v>918</v>
      </c>
      <c r="G523" s="3" t="s">
        <v>30</v>
      </c>
      <c r="H523" s="3" t="s">
        <v>40</v>
      </c>
      <c r="I523" s="3" t="s">
        <v>158</v>
      </c>
      <c r="J523" s="3" t="s">
        <v>159</v>
      </c>
      <c r="K523" s="3" t="s">
        <v>25</v>
      </c>
      <c r="L523" s="3" t="s">
        <v>53</v>
      </c>
      <c r="M523" s="3" t="s">
        <v>54</v>
      </c>
      <c r="N523" s="3">
        <v>11</v>
      </c>
      <c r="O523" s="3">
        <v>0.3</v>
      </c>
      <c r="P523" s="3">
        <v>309.94</v>
      </c>
      <c r="Q523" s="3">
        <v>68.91</v>
      </c>
    </row>
    <row r="524" spans="1:17" x14ac:dyDescent="0.3">
      <c r="A524" s="3">
        <v>514</v>
      </c>
      <c r="B524" s="3" t="s">
        <v>929</v>
      </c>
      <c r="C524" s="3" t="s">
        <v>1700</v>
      </c>
      <c r="D524" s="3" t="s">
        <v>1701</v>
      </c>
      <c r="E524" s="3" t="s">
        <v>62</v>
      </c>
      <c r="F524" s="3" t="s">
        <v>807</v>
      </c>
      <c r="G524" s="3" t="s">
        <v>30</v>
      </c>
      <c r="H524" s="3" t="s">
        <v>46</v>
      </c>
      <c r="I524" s="3" t="s">
        <v>257</v>
      </c>
      <c r="J524" s="3" t="s">
        <v>258</v>
      </c>
      <c r="K524" s="3" t="s">
        <v>25</v>
      </c>
      <c r="L524" s="3" t="s">
        <v>116</v>
      </c>
      <c r="M524" s="3" t="s">
        <v>117</v>
      </c>
      <c r="N524" s="3">
        <v>2</v>
      </c>
      <c r="O524" s="3">
        <v>0.3</v>
      </c>
      <c r="P524" s="3">
        <v>76.290000000000006</v>
      </c>
      <c r="Q524" s="3">
        <v>25.88</v>
      </c>
    </row>
    <row r="525" spans="1:17" x14ac:dyDescent="0.3">
      <c r="A525" s="3">
        <v>515</v>
      </c>
      <c r="B525" s="3" t="s">
        <v>919</v>
      </c>
      <c r="C525" s="3" t="s">
        <v>1587</v>
      </c>
      <c r="D525" s="3" t="s">
        <v>1257</v>
      </c>
      <c r="E525" s="3" t="s">
        <v>19</v>
      </c>
      <c r="F525" s="3" t="s">
        <v>523</v>
      </c>
      <c r="G525" s="3" t="s">
        <v>30</v>
      </c>
      <c r="H525" s="3" t="s">
        <v>40</v>
      </c>
      <c r="I525" s="3" t="s">
        <v>223</v>
      </c>
      <c r="J525" s="3" t="s">
        <v>224</v>
      </c>
      <c r="K525" s="3" t="s">
        <v>33</v>
      </c>
      <c r="L525" s="3" t="s">
        <v>64</v>
      </c>
      <c r="M525" s="3" t="s">
        <v>269</v>
      </c>
      <c r="N525" s="3">
        <v>12</v>
      </c>
      <c r="O525" s="3">
        <v>0.15</v>
      </c>
      <c r="P525" s="3">
        <v>4568.95</v>
      </c>
      <c r="Q525" s="3">
        <v>835.8</v>
      </c>
    </row>
    <row r="526" spans="1:17" x14ac:dyDescent="0.3">
      <c r="A526" s="3">
        <v>516</v>
      </c>
      <c r="B526" s="3" t="s">
        <v>920</v>
      </c>
      <c r="C526" s="3" t="s">
        <v>1702</v>
      </c>
      <c r="D526" s="3" t="s">
        <v>1703</v>
      </c>
      <c r="E526" s="3" t="s">
        <v>37</v>
      </c>
      <c r="F526" s="3" t="s">
        <v>89</v>
      </c>
      <c r="G526" s="3" t="s">
        <v>39</v>
      </c>
      <c r="H526" s="3" t="s">
        <v>90</v>
      </c>
      <c r="I526" s="3" t="s">
        <v>110</v>
      </c>
      <c r="J526" s="3" t="s">
        <v>111</v>
      </c>
      <c r="K526" s="3" t="s">
        <v>25</v>
      </c>
      <c r="L526" s="3" t="s">
        <v>80</v>
      </c>
      <c r="M526" s="3" t="s">
        <v>150</v>
      </c>
      <c r="N526" s="3">
        <v>13</v>
      </c>
      <c r="O526" s="3">
        <v>0.3</v>
      </c>
      <c r="P526" s="3">
        <v>1114.68</v>
      </c>
      <c r="Q526" s="3">
        <v>239.92</v>
      </c>
    </row>
    <row r="527" spans="1:17" x14ac:dyDescent="0.3">
      <c r="A527" s="3">
        <v>517</v>
      </c>
      <c r="B527" s="3" t="s">
        <v>921</v>
      </c>
      <c r="C527" s="3" t="s">
        <v>1704</v>
      </c>
      <c r="D527" s="3" t="s">
        <v>1558</v>
      </c>
      <c r="E527" s="3" t="s">
        <v>37</v>
      </c>
      <c r="F527" s="3" t="s">
        <v>922</v>
      </c>
      <c r="G527" s="3" t="s">
        <v>39</v>
      </c>
      <c r="H527" s="3" t="s">
        <v>90</v>
      </c>
      <c r="I527" s="3" t="s">
        <v>104</v>
      </c>
      <c r="J527" s="3" t="s">
        <v>105</v>
      </c>
      <c r="K527" s="3" t="s">
        <v>25</v>
      </c>
      <c r="L527" s="3" t="s">
        <v>80</v>
      </c>
      <c r="M527" s="3" t="s">
        <v>150</v>
      </c>
      <c r="N527" s="3">
        <v>9</v>
      </c>
      <c r="O527" s="3">
        <v>0.2</v>
      </c>
      <c r="P527" s="3">
        <v>567.76</v>
      </c>
      <c r="Q527" s="3">
        <v>115.95</v>
      </c>
    </row>
    <row r="528" spans="1:17" x14ac:dyDescent="0.3">
      <c r="A528" s="3">
        <v>518</v>
      </c>
      <c r="B528" s="3" t="s">
        <v>923</v>
      </c>
      <c r="C528" s="3" t="s">
        <v>1705</v>
      </c>
      <c r="D528" s="3" t="s">
        <v>1127</v>
      </c>
      <c r="E528" s="3" t="s">
        <v>62</v>
      </c>
      <c r="F528" s="3" t="s">
        <v>924</v>
      </c>
      <c r="G528" s="3" t="s">
        <v>39</v>
      </c>
      <c r="H528" s="3" t="s">
        <v>40</v>
      </c>
      <c r="I528" s="3" t="s">
        <v>41</v>
      </c>
      <c r="J528" s="3" t="s">
        <v>42</v>
      </c>
      <c r="K528" s="3" t="s">
        <v>25</v>
      </c>
      <c r="L528" s="3" t="s">
        <v>80</v>
      </c>
      <c r="M528" s="3" t="s">
        <v>81</v>
      </c>
      <c r="N528" s="3">
        <v>6</v>
      </c>
      <c r="O528" s="3">
        <v>0.2</v>
      </c>
      <c r="P528" s="3">
        <v>184.15</v>
      </c>
      <c r="Q528" s="3">
        <v>-32.36</v>
      </c>
    </row>
    <row r="529" spans="1:17" x14ac:dyDescent="0.3">
      <c r="A529" s="3">
        <v>519</v>
      </c>
      <c r="B529" s="3" t="s">
        <v>925</v>
      </c>
      <c r="C529" s="3" t="s">
        <v>1402</v>
      </c>
      <c r="D529" s="3" t="s">
        <v>1706</v>
      </c>
      <c r="E529" s="3" t="s">
        <v>19</v>
      </c>
      <c r="F529" s="3" t="s">
        <v>926</v>
      </c>
      <c r="G529" s="3" t="s">
        <v>39</v>
      </c>
      <c r="H529" s="3" t="s">
        <v>90</v>
      </c>
      <c r="I529" s="3" t="s">
        <v>99</v>
      </c>
      <c r="J529" s="3" t="s">
        <v>100</v>
      </c>
      <c r="K529" s="3" t="s">
        <v>58</v>
      </c>
      <c r="L529" s="3" t="s">
        <v>86</v>
      </c>
      <c r="M529" s="3" t="s">
        <v>211</v>
      </c>
      <c r="N529" s="3">
        <v>11</v>
      </c>
      <c r="O529" s="3">
        <v>0</v>
      </c>
      <c r="P529" s="3">
        <v>4387.3599999999997</v>
      </c>
      <c r="Q529" s="3">
        <v>783.63</v>
      </c>
    </row>
    <row r="530" spans="1:17" x14ac:dyDescent="0.3">
      <c r="A530" s="3">
        <v>520</v>
      </c>
      <c r="B530" s="3" t="s">
        <v>927</v>
      </c>
      <c r="C530" s="3" t="s">
        <v>1499</v>
      </c>
      <c r="D530" s="3" t="s">
        <v>1282</v>
      </c>
      <c r="E530" s="3" t="s">
        <v>56</v>
      </c>
      <c r="F530" s="3" t="s">
        <v>928</v>
      </c>
      <c r="G530" s="3" t="s">
        <v>39</v>
      </c>
      <c r="H530" s="3" t="s">
        <v>46</v>
      </c>
      <c r="I530" s="3" t="s">
        <v>146</v>
      </c>
      <c r="J530" s="3" t="s">
        <v>147</v>
      </c>
      <c r="K530" s="3" t="s">
        <v>33</v>
      </c>
      <c r="L530" s="3" t="s">
        <v>34</v>
      </c>
      <c r="M530" s="3" t="s">
        <v>597</v>
      </c>
      <c r="N530" s="3">
        <v>1</v>
      </c>
      <c r="O530" s="3">
        <v>0</v>
      </c>
      <c r="P530" s="3">
        <v>311.8</v>
      </c>
      <c r="Q530" s="3">
        <v>11.15</v>
      </c>
    </row>
    <row r="531" spans="1:17" x14ac:dyDescent="0.3">
      <c r="A531" s="3">
        <v>276</v>
      </c>
      <c r="B531" s="3" t="s">
        <v>589</v>
      </c>
      <c r="C531" s="3" t="s">
        <v>1129</v>
      </c>
      <c r="D531" s="3" t="s">
        <v>1409</v>
      </c>
      <c r="E531" s="3" t="s">
        <v>37</v>
      </c>
      <c r="F531" s="3" t="s">
        <v>590</v>
      </c>
      <c r="G531" s="3" t="s">
        <v>30</v>
      </c>
      <c r="H531" s="3" t="s">
        <v>90</v>
      </c>
      <c r="I531" s="3" t="s">
        <v>91</v>
      </c>
      <c r="J531" s="3" t="s">
        <v>92</v>
      </c>
      <c r="K531" s="3" t="s">
        <v>58</v>
      </c>
      <c r="L531" s="3" t="s">
        <v>59</v>
      </c>
      <c r="M531" s="3" t="s">
        <v>60</v>
      </c>
      <c r="N531" s="3">
        <v>8</v>
      </c>
      <c r="O531" s="3">
        <v>0.1</v>
      </c>
      <c r="P531" s="3">
        <v>1109.4000000000001</v>
      </c>
      <c r="Q531" s="3">
        <v>360.93</v>
      </c>
    </row>
    <row r="532" spans="1:17" x14ac:dyDescent="0.3">
      <c r="A532" s="3">
        <v>94</v>
      </c>
      <c r="B532" s="3" t="s">
        <v>299</v>
      </c>
      <c r="C532" s="3" t="s">
        <v>1106</v>
      </c>
      <c r="D532" s="3" t="s">
        <v>1107</v>
      </c>
      <c r="E532" s="3" t="s">
        <v>37</v>
      </c>
      <c r="F532" s="3" t="s">
        <v>300</v>
      </c>
      <c r="G532" s="3" t="s">
        <v>21</v>
      </c>
      <c r="H532" s="3" t="s">
        <v>90</v>
      </c>
      <c r="I532" s="3" t="s">
        <v>110</v>
      </c>
      <c r="J532" s="3" t="s">
        <v>111</v>
      </c>
      <c r="K532" s="3" t="s">
        <v>25</v>
      </c>
      <c r="L532" s="3" t="s">
        <v>53</v>
      </c>
      <c r="M532" s="3" t="s">
        <v>139</v>
      </c>
      <c r="N532" s="3">
        <v>10</v>
      </c>
      <c r="O532" s="3">
        <v>0.2</v>
      </c>
      <c r="P532" s="3">
        <v>741.82</v>
      </c>
      <c r="Q532" s="3">
        <v>83.83</v>
      </c>
    </row>
    <row r="533" spans="1:17" x14ac:dyDescent="0.3">
      <c r="A533" s="3">
        <v>7</v>
      </c>
      <c r="B533" s="3" t="s">
        <v>61</v>
      </c>
      <c r="C533" s="3" t="s">
        <v>945</v>
      </c>
      <c r="D533" s="3" t="s">
        <v>946</v>
      </c>
      <c r="E533" s="3" t="s">
        <v>62</v>
      </c>
      <c r="F533" s="3" t="s">
        <v>63</v>
      </c>
      <c r="G533" s="3" t="s">
        <v>21</v>
      </c>
      <c r="H533" s="3" t="s">
        <v>40</v>
      </c>
      <c r="I533" s="3" t="s">
        <v>41</v>
      </c>
      <c r="J533" s="3" t="s">
        <v>42</v>
      </c>
      <c r="K533" s="3" t="s">
        <v>33</v>
      </c>
      <c r="L533" s="3" t="s">
        <v>64</v>
      </c>
      <c r="M533" s="3" t="s">
        <v>65</v>
      </c>
      <c r="N533" s="3">
        <v>10</v>
      </c>
      <c r="O533" s="3">
        <v>0.1</v>
      </c>
      <c r="P533" s="3">
        <v>2857.57</v>
      </c>
      <c r="Q533" s="3">
        <v>995.56</v>
      </c>
    </row>
    <row r="534" spans="1:17" x14ac:dyDescent="0.3">
      <c r="A534" s="3">
        <v>168</v>
      </c>
      <c r="B534" s="3" t="s">
        <v>420</v>
      </c>
      <c r="C534" s="3" t="s">
        <v>1239</v>
      </c>
      <c r="D534" s="3" t="s">
        <v>1240</v>
      </c>
      <c r="E534" s="3" t="s">
        <v>62</v>
      </c>
      <c r="F534" s="3" t="s">
        <v>421</v>
      </c>
      <c r="G534" s="3" t="s">
        <v>21</v>
      </c>
      <c r="H534" s="3" t="s">
        <v>90</v>
      </c>
      <c r="I534" s="3" t="s">
        <v>169</v>
      </c>
      <c r="J534" s="3" t="s">
        <v>170</v>
      </c>
      <c r="K534" s="3" t="s">
        <v>25</v>
      </c>
      <c r="L534" s="3" t="s">
        <v>80</v>
      </c>
      <c r="M534" s="3" t="s">
        <v>81</v>
      </c>
      <c r="N534" s="3">
        <v>3</v>
      </c>
      <c r="O534" s="3">
        <v>0</v>
      </c>
      <c r="P534" s="3">
        <v>248.6</v>
      </c>
      <c r="Q534" s="3">
        <v>-41.44</v>
      </c>
    </row>
    <row r="535" spans="1:17" x14ac:dyDescent="0.3">
      <c r="A535" s="3">
        <v>91</v>
      </c>
      <c r="B535" s="3" t="s">
        <v>293</v>
      </c>
      <c r="C535" s="3" t="s">
        <v>1100</v>
      </c>
      <c r="D535" s="3" t="s">
        <v>1101</v>
      </c>
      <c r="E535" s="3" t="s">
        <v>37</v>
      </c>
      <c r="F535" s="3" t="s">
        <v>294</v>
      </c>
      <c r="G535" s="3" t="s">
        <v>21</v>
      </c>
      <c r="H535" s="3" t="s">
        <v>40</v>
      </c>
      <c r="I535" s="3" t="s">
        <v>41</v>
      </c>
      <c r="J535" s="3" t="s">
        <v>42</v>
      </c>
      <c r="K535" s="3" t="s">
        <v>58</v>
      </c>
      <c r="L535" s="3" t="s">
        <v>59</v>
      </c>
      <c r="M535" s="3" t="s">
        <v>295</v>
      </c>
      <c r="N535" s="3">
        <v>9</v>
      </c>
      <c r="O535" s="3">
        <v>0.2</v>
      </c>
      <c r="P535" s="3">
        <v>2281.4699999999998</v>
      </c>
      <c r="Q535" s="3">
        <v>-89.75</v>
      </c>
    </row>
    <row r="536" spans="1:17" x14ac:dyDescent="0.3">
      <c r="A536" s="3">
        <v>514</v>
      </c>
      <c r="B536" s="3" t="s">
        <v>929</v>
      </c>
      <c r="C536" s="3" t="s">
        <v>1299</v>
      </c>
      <c r="D536" s="3" t="s">
        <v>1701</v>
      </c>
      <c r="E536" s="3" t="s">
        <v>62</v>
      </c>
      <c r="F536" s="3" t="s">
        <v>807</v>
      </c>
      <c r="G536" s="3" t="s">
        <v>30</v>
      </c>
      <c r="H536" s="3" t="s">
        <v>46</v>
      </c>
      <c r="I536" s="3" t="s">
        <v>257</v>
      </c>
      <c r="J536" s="3" t="s">
        <v>258</v>
      </c>
      <c r="K536" s="3" t="s">
        <v>25</v>
      </c>
      <c r="L536" s="3" t="s">
        <v>116</v>
      </c>
      <c r="M536" s="3" t="s">
        <v>117</v>
      </c>
      <c r="N536" s="3">
        <v>2</v>
      </c>
      <c r="O536" s="3">
        <v>0.3</v>
      </c>
      <c r="P536" s="3">
        <v>76.290000000000006</v>
      </c>
      <c r="Q536" s="3">
        <v>25.88</v>
      </c>
    </row>
    <row r="537" spans="1:17" x14ac:dyDescent="0.3">
      <c r="A537" s="3">
        <v>363</v>
      </c>
      <c r="B537" s="3" t="s">
        <v>717</v>
      </c>
      <c r="C537" s="3" t="s">
        <v>1519</v>
      </c>
      <c r="D537" s="3" t="s">
        <v>1520</v>
      </c>
      <c r="E537" s="3" t="s">
        <v>62</v>
      </c>
      <c r="F537" s="3" t="s">
        <v>306</v>
      </c>
      <c r="G537" s="3" t="s">
        <v>30</v>
      </c>
      <c r="H537" s="3" t="s">
        <v>90</v>
      </c>
      <c r="I537" s="3" t="s">
        <v>91</v>
      </c>
      <c r="J537" s="3" t="s">
        <v>92</v>
      </c>
      <c r="K537" s="3" t="s">
        <v>58</v>
      </c>
      <c r="L537" s="3" t="s">
        <v>59</v>
      </c>
      <c r="M537" s="3" t="s">
        <v>295</v>
      </c>
      <c r="N537" s="3">
        <v>8</v>
      </c>
      <c r="O537" s="3">
        <v>0</v>
      </c>
      <c r="P537" s="3">
        <v>3349.56</v>
      </c>
      <c r="Q537" s="3">
        <v>926.72</v>
      </c>
    </row>
    <row r="538" spans="1:17" x14ac:dyDescent="0.3">
      <c r="A538" s="3">
        <v>229</v>
      </c>
      <c r="B538" s="3" t="s">
        <v>516</v>
      </c>
      <c r="C538" s="3" t="s">
        <v>1349</v>
      </c>
      <c r="D538" s="3" t="s">
        <v>1350</v>
      </c>
      <c r="E538" s="3" t="s">
        <v>19</v>
      </c>
      <c r="F538" s="3" t="s">
        <v>130</v>
      </c>
      <c r="G538" s="3" t="s">
        <v>39</v>
      </c>
      <c r="H538" s="3" t="s">
        <v>46</v>
      </c>
      <c r="I538" s="3" t="s">
        <v>146</v>
      </c>
      <c r="J538" s="3" t="s">
        <v>147</v>
      </c>
      <c r="K538" s="3" t="s">
        <v>25</v>
      </c>
      <c r="L538" s="3" t="s">
        <v>26</v>
      </c>
      <c r="M538" s="3" t="s">
        <v>259</v>
      </c>
      <c r="N538" s="3">
        <v>3</v>
      </c>
      <c r="O538" s="3">
        <v>0</v>
      </c>
      <c r="P538" s="3">
        <v>272.29000000000002</v>
      </c>
      <c r="Q538" s="3">
        <v>-54.07</v>
      </c>
    </row>
    <row r="539" spans="1:17" x14ac:dyDescent="0.3">
      <c r="A539" s="3">
        <v>193</v>
      </c>
      <c r="B539" s="3" t="s">
        <v>463</v>
      </c>
      <c r="C539" s="3" t="s">
        <v>1286</v>
      </c>
      <c r="D539" s="3" t="s">
        <v>1287</v>
      </c>
      <c r="E539" s="3" t="s">
        <v>62</v>
      </c>
      <c r="F539" s="3" t="s">
        <v>464</v>
      </c>
      <c r="G539" s="3" t="s">
        <v>39</v>
      </c>
      <c r="H539" s="3" t="s">
        <v>90</v>
      </c>
      <c r="I539" s="3" t="s">
        <v>169</v>
      </c>
      <c r="J539" s="3" t="s">
        <v>170</v>
      </c>
      <c r="K539" s="3" t="s">
        <v>25</v>
      </c>
      <c r="L539" s="3" t="s">
        <v>116</v>
      </c>
      <c r="M539" s="3" t="s">
        <v>117</v>
      </c>
      <c r="N539" s="3">
        <v>6</v>
      </c>
      <c r="O539" s="3">
        <v>0.15</v>
      </c>
      <c r="P539" s="3">
        <v>259.98</v>
      </c>
      <c r="Q539" s="3">
        <v>-43.6</v>
      </c>
    </row>
    <row r="540" spans="1:17" x14ac:dyDescent="0.3">
      <c r="A540" s="3">
        <v>483</v>
      </c>
      <c r="B540" s="3" t="s">
        <v>930</v>
      </c>
      <c r="C540" s="3" t="s">
        <v>1707</v>
      </c>
      <c r="D540" s="3" t="s">
        <v>1588</v>
      </c>
      <c r="E540" s="3" t="s">
        <v>62</v>
      </c>
      <c r="F540" s="3" t="s">
        <v>931</v>
      </c>
      <c r="G540" s="3" t="s">
        <v>21</v>
      </c>
      <c r="H540" s="3" t="s">
        <v>22</v>
      </c>
      <c r="I540" s="3" t="s">
        <v>84</v>
      </c>
      <c r="J540" s="3" t="s">
        <v>85</v>
      </c>
      <c r="K540" s="3" t="s">
        <v>33</v>
      </c>
      <c r="L540" s="3" t="s">
        <v>95</v>
      </c>
      <c r="M540" s="3" t="s">
        <v>262</v>
      </c>
      <c r="N540" s="3">
        <v>7</v>
      </c>
      <c r="O540" s="3">
        <v>0</v>
      </c>
      <c r="P540" s="3">
        <v>3011.86</v>
      </c>
      <c r="Q540" s="3">
        <v>-592.02</v>
      </c>
    </row>
    <row r="541" spans="1:17" x14ac:dyDescent="0.3">
      <c r="A541" s="3">
        <v>219</v>
      </c>
      <c r="B541" s="3" t="s">
        <v>500</v>
      </c>
      <c r="C541" s="3" t="s">
        <v>1331</v>
      </c>
      <c r="D541" s="3" t="s">
        <v>1332</v>
      </c>
      <c r="E541" s="3" t="s">
        <v>37</v>
      </c>
      <c r="F541" s="3" t="s">
        <v>501</v>
      </c>
      <c r="G541" s="3" t="s">
        <v>30</v>
      </c>
      <c r="H541" s="3" t="s">
        <v>46</v>
      </c>
      <c r="I541" s="3" t="s">
        <v>257</v>
      </c>
      <c r="J541" s="3" t="s">
        <v>258</v>
      </c>
      <c r="K541" s="3" t="s">
        <v>33</v>
      </c>
      <c r="L541" s="3" t="s">
        <v>95</v>
      </c>
      <c r="M541" s="3" t="s">
        <v>262</v>
      </c>
      <c r="N541" s="3">
        <v>6</v>
      </c>
      <c r="O541" s="3">
        <v>0.2</v>
      </c>
      <c r="P541" s="3">
        <v>3797.85</v>
      </c>
      <c r="Q541" s="3">
        <v>655.98</v>
      </c>
    </row>
    <row r="542" spans="1:17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x14ac:dyDescent="0.3">
      <c r="A543" s="3">
        <v>181</v>
      </c>
      <c r="B543" s="3" t="s">
        <v>442</v>
      </c>
      <c r="C543" s="3" t="s">
        <v>1263</v>
      </c>
      <c r="D543" s="3" t="s">
        <v>1264</v>
      </c>
      <c r="E543" s="3" t="s">
        <v>37</v>
      </c>
      <c r="F543" s="3" t="s">
        <v>443</v>
      </c>
      <c r="G543" s="3" t="s">
        <v>30</v>
      </c>
      <c r="H543" s="3" t="s">
        <v>46</v>
      </c>
      <c r="I543" s="3" t="s">
        <v>257</v>
      </c>
      <c r="J543" s="3" t="s">
        <v>258</v>
      </c>
      <c r="K543" s="3" t="s">
        <v>33</v>
      </c>
      <c r="L543" s="3" t="s">
        <v>95</v>
      </c>
      <c r="M543" s="3" t="s">
        <v>120</v>
      </c>
      <c r="N543" s="3">
        <v>3</v>
      </c>
      <c r="O543" s="3">
        <v>0.3</v>
      </c>
      <c r="P543" s="3">
        <v>1127.47</v>
      </c>
      <c r="Q543" s="3">
        <v>-156.21</v>
      </c>
    </row>
    <row r="544" spans="1:17" x14ac:dyDescent="0.3">
      <c r="A544" s="3">
        <v>308</v>
      </c>
      <c r="B544" s="3" t="s">
        <v>638</v>
      </c>
      <c r="C544" s="3" t="s">
        <v>1708</v>
      </c>
      <c r="D544" s="3" t="s">
        <v>1453</v>
      </c>
      <c r="E544" s="3" t="s">
        <v>56</v>
      </c>
      <c r="F544" s="3" t="s">
        <v>317</v>
      </c>
      <c r="G544" s="3" t="s">
        <v>21</v>
      </c>
      <c r="H544" s="3" t="s">
        <v>22</v>
      </c>
      <c r="I544" s="3" t="s">
        <v>72</v>
      </c>
      <c r="J544" s="3" t="s">
        <v>73</v>
      </c>
      <c r="K544" s="3" t="s">
        <v>33</v>
      </c>
      <c r="L544" s="3" t="s">
        <v>95</v>
      </c>
      <c r="M544" s="3" t="s">
        <v>370</v>
      </c>
      <c r="N544" s="3">
        <v>6</v>
      </c>
      <c r="O544" s="3">
        <v>0</v>
      </c>
      <c r="P544" s="3">
        <v>2241.84</v>
      </c>
      <c r="Q544" s="3">
        <v>382.21</v>
      </c>
    </row>
    <row r="545" spans="1:17" x14ac:dyDescent="0.3">
      <c r="A545" s="3">
        <v>509</v>
      </c>
      <c r="B545" s="3" t="s">
        <v>913</v>
      </c>
      <c r="C545" s="3" t="s">
        <v>1696</v>
      </c>
      <c r="D545" s="3" t="s">
        <v>1471</v>
      </c>
      <c r="E545" s="3" t="s">
        <v>19</v>
      </c>
      <c r="F545" s="3" t="s">
        <v>253</v>
      </c>
      <c r="G545" s="3" t="s">
        <v>39</v>
      </c>
      <c r="H545" s="3" t="s">
        <v>40</v>
      </c>
      <c r="I545" s="3" t="s">
        <v>114</v>
      </c>
      <c r="J545" s="3" t="s">
        <v>115</v>
      </c>
      <c r="K545" s="3" t="s">
        <v>25</v>
      </c>
      <c r="L545" s="3" t="s">
        <v>116</v>
      </c>
      <c r="M545" s="3" t="s">
        <v>166</v>
      </c>
      <c r="N545" s="3">
        <v>11</v>
      </c>
      <c r="O545" s="3">
        <v>0</v>
      </c>
      <c r="P545" s="3">
        <v>227.87</v>
      </c>
      <c r="Q545" s="3">
        <v>53.34</v>
      </c>
    </row>
    <row r="546" spans="1:17" x14ac:dyDescent="0.3">
      <c r="A546" s="3">
        <v>11</v>
      </c>
      <c r="B546" s="3" t="s">
        <v>82</v>
      </c>
      <c r="C546" s="3" t="s">
        <v>953</v>
      </c>
      <c r="D546" s="3" t="s">
        <v>954</v>
      </c>
      <c r="E546" s="3" t="s">
        <v>37</v>
      </c>
      <c r="F546" s="3" t="s">
        <v>83</v>
      </c>
      <c r="G546" s="3" t="s">
        <v>39</v>
      </c>
      <c r="H546" s="3" t="s">
        <v>22</v>
      </c>
      <c r="I546" s="3" t="s">
        <v>84</v>
      </c>
      <c r="J546" s="3" t="s">
        <v>85</v>
      </c>
      <c r="K546" s="3" t="s">
        <v>58</v>
      </c>
      <c r="L546" s="3" t="s">
        <v>86</v>
      </c>
      <c r="M546" s="3" t="s">
        <v>87</v>
      </c>
      <c r="N546" s="3">
        <v>9</v>
      </c>
      <c r="O546" s="3">
        <v>0.3</v>
      </c>
      <c r="P546" s="3">
        <v>881.32</v>
      </c>
      <c r="Q546" s="3">
        <v>289.62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2"/>
  <sheetViews>
    <sheetView showGridLines="0" topLeftCell="A46" zoomScaleNormal="100" workbookViewId="0">
      <selection activeCell="S18" sqref="S18"/>
    </sheetView>
  </sheetViews>
  <sheetFormatPr defaultColWidth="8.6640625" defaultRowHeight="14.4" x14ac:dyDescent="0.3"/>
  <cols>
    <col min="1" max="2" width="22" customWidth="1"/>
    <col min="3" max="3" width="4" customWidth="1"/>
    <col min="4" max="5" width="20" customWidth="1"/>
    <col min="10" max="10" width="26" hidden="1" customWidth="1"/>
    <col min="11" max="11" width="14" hidden="1" customWidth="1"/>
  </cols>
  <sheetData>
    <row r="1" spans="1:11" ht="21" x14ac:dyDescent="0.4">
      <c r="A1" s="23" t="s">
        <v>1709</v>
      </c>
      <c r="B1" s="23"/>
      <c r="C1" s="23"/>
      <c r="D1" s="23"/>
      <c r="E1" s="23"/>
      <c r="F1" s="23"/>
      <c r="J1" s="8" t="s">
        <v>1710</v>
      </c>
    </row>
    <row r="2" spans="1:11" x14ac:dyDescent="0.3">
      <c r="A2" s="24" t="s">
        <v>1711</v>
      </c>
      <c r="B2" s="24"/>
      <c r="C2" s="24"/>
      <c r="D2" s="24"/>
      <c r="E2" s="24"/>
      <c r="F2" s="24"/>
      <c r="J2" s="9" t="s">
        <v>12</v>
      </c>
      <c r="K2" s="9" t="s">
        <v>1712</v>
      </c>
    </row>
    <row r="3" spans="1:11" x14ac:dyDescent="0.3">
      <c r="J3" s="10" t="s">
        <v>81</v>
      </c>
      <c r="K3" s="11">
        <f>SUMIF(Sales_Data!$M$2:$M$511,J3,Sales_Data!$P$2:$P$511) + ROW()/10000000</f>
        <v>7981.3100002999981</v>
      </c>
    </row>
    <row r="4" spans="1:11" ht="16.2" customHeight="1" x14ac:dyDescent="0.3">
      <c r="A4" s="25" t="s">
        <v>1713</v>
      </c>
      <c r="B4" s="25"/>
      <c r="C4" s="25"/>
      <c r="D4" s="25"/>
      <c r="E4" s="25"/>
      <c r="F4" s="25"/>
      <c r="J4" s="10" t="s">
        <v>295</v>
      </c>
      <c r="K4" s="11">
        <f>SUMIF(Sales_Data!$M$2:$M$511,J4,Sales_Data!$P$2:$P$511) + ROW()/10000000</f>
        <v>6395.7100003999994</v>
      </c>
    </row>
    <row r="5" spans="1:11" ht="27.75" customHeight="1" x14ac:dyDescent="0.3">
      <c r="A5" s="12" t="s">
        <v>1712</v>
      </c>
      <c r="B5" s="12" t="s">
        <v>1714</v>
      </c>
      <c r="C5" s="12" t="s">
        <v>1715</v>
      </c>
      <c r="D5" s="12" t="s">
        <v>1716</v>
      </c>
      <c r="E5" s="12" t="s">
        <v>1717</v>
      </c>
      <c r="J5" s="10" t="s">
        <v>133</v>
      </c>
      <c r="K5" s="11">
        <f>SUMIF(Sales_Data!$M$2:$M$511,J5,Sales_Data!$P$2:$P$511) + ROW()/10000000</f>
        <v>23101.760000500002</v>
      </c>
    </row>
    <row r="6" spans="1:11" ht="30" customHeight="1" x14ac:dyDescent="0.3">
      <c r="A6" s="13">
        <f>SUM(Sales_Data!P2:P511)</f>
        <v>642224.04</v>
      </c>
      <c r="B6" s="13">
        <f>SUM(Sales_Data!Q2:Q511)</f>
        <v>19216.970000000012</v>
      </c>
      <c r="C6" s="13">
        <f>AVERAGE(Sales_Data!P2:P511)</f>
        <v>1259.2628235294119</v>
      </c>
      <c r="D6" s="13">
        <f>MAX(Sales_Data!P2:P511)</f>
        <v>8445.82</v>
      </c>
      <c r="E6" s="14">
        <f>SUMPRODUCT(1/COUNTIF(Sales_Data!B2:B511,Sales_Data!B2:B511))</f>
        <v>510</v>
      </c>
      <c r="J6" s="10" t="s">
        <v>259</v>
      </c>
      <c r="K6" s="11">
        <f>SUMIF(Sales_Data!$M$2:$M$511,J6,Sales_Data!$P$2:$P$511) + ROW()/10000000</f>
        <v>6279.6600005999999</v>
      </c>
    </row>
    <row r="7" spans="1:11" x14ac:dyDescent="0.3">
      <c r="J7" s="10" t="s">
        <v>27</v>
      </c>
      <c r="K7" s="11">
        <f>SUMIF(Sales_Data!$M$2:$M$511,J7,Sales_Data!$P$2:$P$511) + ROW()/10000000</f>
        <v>4170.7200007000001</v>
      </c>
    </row>
    <row r="8" spans="1:11" x14ac:dyDescent="0.3">
      <c r="J8" s="10" t="s">
        <v>220</v>
      </c>
      <c r="K8" s="11">
        <f>SUMIF(Sales_Data!$M$2:$M$511,J8,Sales_Data!$P$2:$P$511) + ROW()/10000000</f>
        <v>11751.840000799997</v>
      </c>
    </row>
    <row r="9" spans="1:11" ht="16.8" x14ac:dyDescent="0.3">
      <c r="A9" s="22" t="s">
        <v>1718</v>
      </c>
      <c r="B9" s="22"/>
      <c r="J9" s="10" t="s">
        <v>65</v>
      </c>
      <c r="K9" s="11">
        <f>SUMIF(Sales_Data!$M$2:$M$511,J9,Sales_Data!$P$2:$P$511) + ROW()/10000000</f>
        <v>24183.970000900001</v>
      </c>
    </row>
    <row r="10" spans="1:11" x14ac:dyDescent="0.3">
      <c r="A10" s="9" t="s">
        <v>7</v>
      </c>
      <c r="B10" s="9" t="s">
        <v>1712</v>
      </c>
      <c r="J10" s="10" t="s">
        <v>43</v>
      </c>
      <c r="K10" s="11">
        <f>SUMIF(Sales_Data!$M$2:$M$511,J10,Sales_Data!$P$2:$P$511) + ROW()/10000000</f>
        <v>22740.540000999998</v>
      </c>
    </row>
    <row r="11" spans="1:11" x14ac:dyDescent="0.3">
      <c r="A11" s="3" t="s">
        <v>46</v>
      </c>
      <c r="B11" s="6">
        <f>SUMIF(Sales_Data!$H$2:$H$511,A11,Sales_Data!$P$2:$P$511)</f>
        <v>153164.02000000005</v>
      </c>
      <c r="J11" s="10" t="s">
        <v>232</v>
      </c>
      <c r="K11" s="11">
        <f>SUMIF(Sales_Data!$M$2:$M$511,J11,Sales_Data!$P$2:$P$511) + ROW()/10000000</f>
        <v>11827.410001099999</v>
      </c>
    </row>
    <row r="12" spans="1:11" x14ac:dyDescent="0.3">
      <c r="A12" s="3" t="s">
        <v>22</v>
      </c>
      <c r="B12" s="6">
        <f>SUMIF(Sales_Data!$H$2:$H$511,A12,Sales_Data!$P$2:$P$511)</f>
        <v>167089.08000000005</v>
      </c>
      <c r="J12" s="10" t="s">
        <v>50</v>
      </c>
      <c r="K12" s="11">
        <f>SUMIF(Sales_Data!$M$2:$M$511,J12,Sales_Data!$P$2:$P$511) + ROW()/10000000</f>
        <v>15379.000001200002</v>
      </c>
    </row>
    <row r="13" spans="1:11" x14ac:dyDescent="0.3">
      <c r="A13" s="3" t="s">
        <v>90</v>
      </c>
      <c r="B13" s="6">
        <f>SUMIF(Sales_Data!$H$2:$H$511,A13,Sales_Data!$P$2:$P$511)</f>
        <v>135430.22999999995</v>
      </c>
      <c r="J13" s="10" t="s">
        <v>107</v>
      </c>
      <c r="K13" s="11">
        <f>SUMIF(Sales_Data!$M$2:$M$511,J13,Sales_Data!$P$2:$P$511) + ROW()/10000000</f>
        <v>6358.0900013</v>
      </c>
    </row>
    <row r="14" spans="1:11" x14ac:dyDescent="0.3">
      <c r="A14" s="3" t="s">
        <v>40</v>
      </c>
      <c r="B14" s="6">
        <f>SUMIF(Sales_Data!$H$2:$H$511,A14,Sales_Data!$P$2:$P$511)</f>
        <v>186540.71000000011</v>
      </c>
      <c r="J14" s="10" t="s">
        <v>597</v>
      </c>
      <c r="K14" s="11">
        <f>SUMIF(Sales_Data!$M$2:$M$511,J14,Sales_Data!$P$2:$P$511) + ROW()/10000000</f>
        <v>16735.6800014</v>
      </c>
    </row>
    <row r="15" spans="1:11" x14ac:dyDescent="0.3">
      <c r="J15" s="10" t="s">
        <v>96</v>
      </c>
      <c r="K15" s="11">
        <f>SUMIF(Sales_Data!$M$2:$M$511,J15,Sales_Data!$P$2:$P$511) + ROW()/10000000</f>
        <v>40051.850001499988</v>
      </c>
    </row>
    <row r="16" spans="1:11" ht="16.8" x14ac:dyDescent="0.3">
      <c r="A16" s="22" t="s">
        <v>1719</v>
      </c>
      <c r="B16" s="22"/>
      <c r="J16" s="10" t="s">
        <v>120</v>
      </c>
      <c r="K16" s="11">
        <f>SUMIF(Sales_Data!$M$2:$M$511,J16,Sales_Data!$P$2:$P$511) + ROW()/10000000</f>
        <v>24951.000001600001</v>
      </c>
    </row>
    <row r="17" spans="1:11" x14ac:dyDescent="0.3">
      <c r="A17" s="9" t="s">
        <v>10</v>
      </c>
      <c r="B17" s="9" t="s">
        <v>1712</v>
      </c>
      <c r="J17" s="10" t="s">
        <v>117</v>
      </c>
      <c r="K17" s="11">
        <f>SUMIF(Sales_Data!$M$2:$M$511,J17,Sales_Data!$P$2:$P$511) + ROW()/10000000</f>
        <v>5125.4700017000005</v>
      </c>
    </row>
    <row r="18" spans="1:11" x14ac:dyDescent="0.3">
      <c r="A18" s="3" t="s">
        <v>33</v>
      </c>
      <c r="B18" s="6">
        <f>SUMIF(Sales_Data!$K$2:$K$511,A18,Sales_Data!$P$2:$P$511)</f>
        <v>322178.59999999998</v>
      </c>
      <c r="J18" s="10" t="s">
        <v>101</v>
      </c>
      <c r="K18" s="11">
        <f>SUMIF(Sales_Data!$M$2:$M$511,J18,Sales_Data!$P$2:$P$511) + ROW()/10000000</f>
        <v>7753.2800017999989</v>
      </c>
    </row>
    <row r="19" spans="1:11" x14ac:dyDescent="0.3">
      <c r="A19" s="3" t="s">
        <v>25</v>
      </c>
      <c r="B19" s="6">
        <f>SUMIF(Sales_Data!$K$2:$K$511,A19,Sales_Data!$P$2:$P$511)</f>
        <v>134855.31999999998</v>
      </c>
      <c r="J19" s="10" t="s">
        <v>205</v>
      </c>
      <c r="K19" s="11">
        <f>SUMIF(Sales_Data!$M$2:$M$511,J19,Sales_Data!$P$2:$P$511) + ROW()/10000000</f>
        <v>13652.350001899998</v>
      </c>
    </row>
    <row r="20" spans="1:11" x14ac:dyDescent="0.3">
      <c r="A20" s="3" t="s">
        <v>58</v>
      </c>
      <c r="B20" s="6">
        <f>SUMIF(Sales_Data!$K$2:$K$511,A20,Sales_Data!$P$2:$P$511)</f>
        <v>185190.12</v>
      </c>
      <c r="J20" s="10" t="s">
        <v>87</v>
      </c>
      <c r="K20" s="11">
        <f>SUMIF(Sales_Data!$M$2:$M$511,J20,Sales_Data!$P$2:$P$511) + ROW()/10000000</f>
        <v>20559.030002000003</v>
      </c>
    </row>
    <row r="21" spans="1:11" x14ac:dyDescent="0.3">
      <c r="J21" s="10" t="s">
        <v>211</v>
      </c>
      <c r="K21" s="11">
        <f>SUMIF(Sales_Data!$M$2:$M$511,J21,Sales_Data!$P$2:$P$511) + ROW()/10000000</f>
        <v>23342.000002100001</v>
      </c>
    </row>
    <row r="22" spans="1:11" ht="16.8" x14ac:dyDescent="0.3">
      <c r="A22" s="22" t="s">
        <v>1720</v>
      </c>
      <c r="B22" s="22"/>
      <c r="J22" s="10" t="s">
        <v>180</v>
      </c>
      <c r="K22" s="11">
        <f>SUMIF(Sales_Data!$M$2:$M$511,J22,Sales_Data!$P$2:$P$511) + ROW()/10000000</f>
        <v>6890.3200022000019</v>
      </c>
    </row>
    <row r="23" spans="1:11" x14ac:dyDescent="0.3">
      <c r="A23" s="9" t="s">
        <v>7</v>
      </c>
      <c r="B23" s="9" t="s">
        <v>1714</v>
      </c>
      <c r="J23" s="10" t="s">
        <v>208</v>
      </c>
      <c r="K23" s="11">
        <f>SUMIF(Sales_Data!$M$2:$M$511,J23,Sales_Data!$P$2:$P$511) + ROW()/10000000</f>
        <v>23368.520002299996</v>
      </c>
    </row>
    <row r="24" spans="1:11" x14ac:dyDescent="0.3">
      <c r="A24" s="3" t="s">
        <v>46</v>
      </c>
      <c r="B24" s="6">
        <f>SUMIF(Sales_Data!$H$2:$H$511,A24,Sales_Data!$Q$2:$Q$511)</f>
        <v>4715.5200000000013</v>
      </c>
      <c r="J24" s="10" t="s">
        <v>126</v>
      </c>
      <c r="K24" s="11">
        <f>SUMIF(Sales_Data!$M$2:$M$511,J24,Sales_Data!$P$2:$P$511) + ROW()/10000000</f>
        <v>26213.220002400001</v>
      </c>
    </row>
    <row r="25" spans="1:11" x14ac:dyDescent="0.3">
      <c r="A25" s="3" t="s">
        <v>22</v>
      </c>
      <c r="B25" s="6">
        <f>SUMIF(Sales_Data!$H$2:$H$511,A25,Sales_Data!$Q$2:$Q$511)</f>
        <v>4582.2099999999955</v>
      </c>
      <c r="J25" s="10" t="s">
        <v>218</v>
      </c>
      <c r="K25" s="11">
        <f>SUMIF(Sales_Data!$M$2:$M$511,J25,Sales_Data!$P$2:$P$511) + ROW()/10000000</f>
        <v>44492.590002500001</v>
      </c>
    </row>
    <row r="26" spans="1:11" x14ac:dyDescent="0.3">
      <c r="A26" s="3" t="s">
        <v>90</v>
      </c>
      <c r="B26" s="6">
        <f>SUMIF(Sales_Data!$H$2:$H$511,A26,Sales_Data!$Q$2:$Q$511)</f>
        <v>8040.78</v>
      </c>
      <c r="J26" s="10" t="s">
        <v>54</v>
      </c>
      <c r="K26" s="11">
        <f>SUMIF(Sales_Data!$M$2:$M$511,J26,Sales_Data!$P$2:$P$511) + ROW()/10000000</f>
        <v>8791.2900026000007</v>
      </c>
    </row>
    <row r="27" spans="1:11" x14ac:dyDescent="0.3">
      <c r="A27" s="3" t="s">
        <v>40</v>
      </c>
      <c r="B27" s="6">
        <f>SUMIF(Sales_Data!$H$2:$H$511,A27,Sales_Data!$Q$2:$Q$511)</f>
        <v>1878.46</v>
      </c>
      <c r="J27" s="10" t="s">
        <v>254</v>
      </c>
      <c r="K27" s="11">
        <f>SUMIF(Sales_Data!$M$2:$M$511,J27,Sales_Data!$P$2:$P$511) + ROW()/10000000</f>
        <v>15849.9800027</v>
      </c>
    </row>
    <row r="28" spans="1:11" x14ac:dyDescent="0.3">
      <c r="J28" s="10" t="s">
        <v>136</v>
      </c>
      <c r="K28" s="11">
        <f>SUMIF(Sales_Data!$M$2:$M$511,J28,Sales_Data!$P$2:$P$511) + ROW()/10000000</f>
        <v>8123.3700028000012</v>
      </c>
    </row>
    <row r="29" spans="1:11" ht="16.8" x14ac:dyDescent="0.3">
      <c r="A29" s="22" t="s">
        <v>1721</v>
      </c>
      <c r="B29" s="22"/>
      <c r="J29" s="10" t="s">
        <v>139</v>
      </c>
      <c r="K29" s="11">
        <f>SUMIF(Sales_Data!$M$2:$M$511,J29,Sales_Data!$P$2:$P$511) + ROW()/10000000</f>
        <v>9640.6000028999988</v>
      </c>
    </row>
    <row r="30" spans="1:11" x14ac:dyDescent="0.3">
      <c r="A30" s="9" t="s">
        <v>10</v>
      </c>
      <c r="B30" s="9" t="s">
        <v>1714</v>
      </c>
      <c r="J30" s="10" t="s">
        <v>478</v>
      </c>
      <c r="K30" s="11">
        <f>SUMIF(Sales_Data!$M$2:$M$511,J30,Sales_Data!$P$2:$P$511) + ROW()/10000000</f>
        <v>7456.5900029999993</v>
      </c>
    </row>
    <row r="31" spans="1:11" x14ac:dyDescent="0.3">
      <c r="A31" s="3" t="s">
        <v>33</v>
      </c>
      <c r="B31" s="6">
        <f>SUMIF(Sales_Data!$K$2:$K$511,A31,Sales_Data!$Q$2:$Q$511)</f>
        <v>9365.649999999996</v>
      </c>
      <c r="J31" s="10" t="s">
        <v>370</v>
      </c>
      <c r="K31" s="11">
        <f>SUMIF(Sales_Data!$M$2:$M$511,J31,Sales_Data!$P$2:$P$511) + ROW()/10000000</f>
        <v>25142.0100031</v>
      </c>
    </row>
    <row r="32" spans="1:11" x14ac:dyDescent="0.3">
      <c r="A32" s="3" t="s">
        <v>25</v>
      </c>
      <c r="B32" s="6">
        <f>SUMIF(Sales_Data!$K$2:$K$511,A32,Sales_Data!$Q$2:$Q$511)</f>
        <v>10043.059999999989</v>
      </c>
      <c r="J32" s="10" t="s">
        <v>262</v>
      </c>
      <c r="K32" s="11">
        <f>SUMIF(Sales_Data!$M$2:$M$511,J32,Sales_Data!$P$2:$P$511) + ROW()/10000000</f>
        <v>13188.9600032</v>
      </c>
    </row>
    <row r="33" spans="1:11" x14ac:dyDescent="0.3">
      <c r="A33" s="3" t="s">
        <v>58</v>
      </c>
      <c r="B33" s="6">
        <f>SUMIF(Sales_Data!$K$2:$K$511,A33,Sales_Data!$Q$2:$Q$511)</f>
        <v>-191.73999999999933</v>
      </c>
      <c r="J33" s="10" t="s">
        <v>202</v>
      </c>
      <c r="K33" s="11">
        <f>SUMIF(Sales_Data!$M$2:$M$511,J33,Sales_Data!$P$2:$P$511) + ROW()/10000000</f>
        <v>8830.2300032999992</v>
      </c>
    </row>
    <row r="34" spans="1:11" x14ac:dyDescent="0.3">
      <c r="J34" s="10" t="s">
        <v>150</v>
      </c>
      <c r="K34" s="11">
        <f>SUMIF(Sales_Data!$M$2:$M$511,J34,Sales_Data!$P$2:$P$511) + ROW()/10000000</f>
        <v>13753.340003400001</v>
      </c>
    </row>
    <row r="35" spans="1:11" ht="16.8" x14ac:dyDescent="0.3">
      <c r="A35" s="22" t="s">
        <v>1722</v>
      </c>
      <c r="B35" s="22"/>
      <c r="J35" s="10" t="s">
        <v>75</v>
      </c>
      <c r="K35" s="11">
        <f>SUMIF(Sales_Data!$M$2:$M$511,J35,Sales_Data!$P$2:$P$511) + ROW()/10000000</f>
        <v>4748.0100034999996</v>
      </c>
    </row>
    <row r="36" spans="1:11" x14ac:dyDescent="0.3">
      <c r="A36" s="9" t="s">
        <v>12</v>
      </c>
      <c r="B36" s="9" t="s">
        <v>1712</v>
      </c>
      <c r="J36" s="10" t="s">
        <v>60</v>
      </c>
      <c r="K36" s="11">
        <f>SUMIF(Sales_Data!$M$2:$M$511,J36,Sales_Data!$P$2:$P$511) + ROW()/10000000</f>
        <v>20252.5100036</v>
      </c>
    </row>
    <row r="37" spans="1:11" x14ac:dyDescent="0.3">
      <c r="A37" s="3" t="str">
        <f>INDEX($J$3:$J$45,MATCH(C37,$K$3:$K$45,0))</f>
        <v>Office Copier Pro</v>
      </c>
      <c r="B37" s="6">
        <f>ROUNDDOWN(C37,2)</f>
        <v>44492.59</v>
      </c>
      <c r="C37" s="11">
        <f>LARGE($K$3:$K$45,1)</f>
        <v>44492.590002500001</v>
      </c>
      <c r="J37" s="10" t="s">
        <v>286</v>
      </c>
      <c r="K37" s="11">
        <f>SUMIF(Sales_Data!$M$2:$M$511,J37,Sales_Data!$P$2:$P$511) + ROW()/10000000</f>
        <v>6723.8000037000002</v>
      </c>
    </row>
    <row r="38" spans="1:11" x14ac:dyDescent="0.3">
      <c r="A38" s="3" t="str">
        <f>INDEX($J$3:$J$45,MATCH(C38,$K$3:$K$45,0))</f>
        <v>Folding Table</v>
      </c>
      <c r="B38" s="6">
        <f>ROUNDDOWN(C38,2)</f>
        <v>40051.85</v>
      </c>
      <c r="C38" s="11">
        <f>LARGE($K$3:$K$45,2)</f>
        <v>40051.850001499988</v>
      </c>
      <c r="J38" s="10" t="s">
        <v>171</v>
      </c>
      <c r="K38" s="11">
        <f>SUMIF(Sales_Data!$M$2:$M$511,J38,Sales_Data!$P$2:$P$511) + ROW()/10000000</f>
        <v>16507.990003799998</v>
      </c>
    </row>
    <row r="39" spans="1:11" x14ac:dyDescent="0.3">
      <c r="A39" s="3" t="str">
        <f>INDEX($J$3:$J$45,MATCH(C39,$K$3:$K$45,0))</f>
        <v>Wooden Bookcase 5-Shelf</v>
      </c>
      <c r="B39" s="6">
        <f>ROUNDDOWN(C39,2)</f>
        <v>36860.449999999997</v>
      </c>
      <c r="C39" s="11">
        <f>LARGE($K$3:$K$45,3)</f>
        <v>36860.450004499995</v>
      </c>
      <c r="J39" s="10" t="s">
        <v>155</v>
      </c>
      <c r="K39" s="11">
        <f>SUMIF(Sales_Data!$M$2:$M$511,J39,Sales_Data!$P$2:$P$511) + ROW()/10000000</f>
        <v>5335.7000039000004</v>
      </c>
    </row>
    <row r="40" spans="1:11" x14ac:dyDescent="0.3">
      <c r="A40" s="3" t="str">
        <f>INDEX($J$3:$J$45,MATCH(C40,$K$3:$K$45,0))</f>
        <v>Metal Bookcase</v>
      </c>
      <c r="B40" s="6">
        <f>ROUNDDOWN(C40,2)</f>
        <v>26213.22</v>
      </c>
      <c r="C40" s="11">
        <f>LARGE($K$3:$K$45,4)</f>
        <v>26213.220002400001</v>
      </c>
      <c r="J40" s="10" t="s">
        <v>123</v>
      </c>
      <c r="K40" s="11">
        <f>SUMIF(Sales_Data!$M$2:$M$511,J40,Sales_Data!$P$2:$P$511) + ROW()/10000000</f>
        <v>5334.3600040000019</v>
      </c>
    </row>
    <row r="41" spans="1:11" x14ac:dyDescent="0.3">
      <c r="A41" s="3" t="str">
        <f>INDEX($J$3:$J$45,MATCH(C41,$K$3:$K$45,0))</f>
        <v>Rectangular Desk</v>
      </c>
      <c r="B41" s="6">
        <f>ROUNDDOWN(C41,2)</f>
        <v>25142.01</v>
      </c>
      <c r="C41" s="11">
        <f>LARGE($K$3:$K$45,5)</f>
        <v>25142.0100031</v>
      </c>
      <c r="J41" s="10" t="s">
        <v>571</v>
      </c>
      <c r="K41" s="11">
        <f>SUMIF(Sales_Data!$M$2:$M$511,J41,Sales_Data!$P$2:$P$511) + ROW()/10000000</f>
        <v>3219.4200040999999</v>
      </c>
    </row>
    <row r="42" spans="1:11" x14ac:dyDescent="0.3">
      <c r="J42" s="10" t="s">
        <v>166</v>
      </c>
      <c r="K42" s="11">
        <f>SUMIF(Sales_Data!$M$2:$M$511,J42,Sales_Data!$P$2:$P$511) + ROW()/10000000</f>
        <v>9231.580004200001</v>
      </c>
    </row>
    <row r="43" spans="1:11" ht="16.8" x14ac:dyDescent="0.3">
      <c r="A43" s="22" t="s">
        <v>1723</v>
      </c>
      <c r="B43" s="22"/>
      <c r="J43" s="10" t="s">
        <v>35</v>
      </c>
      <c r="K43" s="11">
        <f>SUMIF(Sales_Data!$M$2:$M$511,J43,Sales_Data!$P$2:$P$511) + ROW()/10000000</f>
        <v>23333.030004299999</v>
      </c>
    </row>
    <row r="44" spans="1:11" x14ac:dyDescent="0.3">
      <c r="A44" s="9" t="s">
        <v>1724</v>
      </c>
      <c r="B44" s="9" t="s">
        <v>1712</v>
      </c>
      <c r="J44" s="10" t="s">
        <v>200</v>
      </c>
      <c r="K44" s="11">
        <f>SUMIF(Sales_Data!$M$2:$M$511,J44,Sales_Data!$P$2:$P$511) + ROW()/10000000</f>
        <v>6595.5000043999999</v>
      </c>
    </row>
    <row r="45" spans="1:11" x14ac:dyDescent="0.3">
      <c r="A45" s="3" t="s">
        <v>1725</v>
      </c>
      <c r="B45" s="6">
        <f>SUMPRODUCT((YEAR(Sales_Data!$C$2:$C$511)=2021)*(MONTH(Sales_Data!$C$2:$C$511)=1)*Sales_Data!$P$2:$P$511)</f>
        <v>20239.62</v>
      </c>
      <c r="J45" s="10" t="s">
        <v>269</v>
      </c>
      <c r="K45" s="11">
        <f>SUMIF(Sales_Data!$M$2:$M$511,J45,Sales_Data!$P$2:$P$511) + ROW()/10000000</f>
        <v>36860.450004499995</v>
      </c>
    </row>
    <row r="46" spans="1:11" x14ac:dyDescent="0.3">
      <c r="A46" s="3" t="s">
        <v>1726</v>
      </c>
      <c r="B46" s="6">
        <f>SUMPRODUCT((YEAR(Sales_Data!$C$2:$C$511)=2021)*(MONTH(Sales_Data!$C$2:$C$511)=2)*Sales_Data!$P$2:$P$511)</f>
        <v>5242.46</v>
      </c>
    </row>
    <row r="47" spans="1:11" x14ac:dyDescent="0.3">
      <c r="A47" s="3" t="s">
        <v>1727</v>
      </c>
      <c r="B47" s="6">
        <f>SUMPRODUCT((YEAR(Sales_Data!$C$2:$C$511)=2021)*(MONTH(Sales_Data!$C$2:$C$511)=3)*Sales_Data!$P$2:$P$511)</f>
        <v>13498.729999999998</v>
      </c>
    </row>
    <row r="48" spans="1:11" x14ac:dyDescent="0.3">
      <c r="A48" s="3" t="s">
        <v>1728</v>
      </c>
      <c r="B48" s="6">
        <f>SUMPRODUCT((YEAR(Sales_Data!$C$2:$C$511)=2021)*(MONTH(Sales_Data!$C$2:$C$511)=4)*Sales_Data!$P$2:$P$511)</f>
        <v>17688.09</v>
      </c>
    </row>
    <row r="49" spans="1:2" x14ac:dyDescent="0.3">
      <c r="A49" s="3" t="s">
        <v>1729</v>
      </c>
      <c r="B49" s="6">
        <f>SUMPRODUCT((YEAR(Sales_Data!$C$2:$C$511)=2021)*(MONTH(Sales_Data!$C$2:$C$511)=5)*Sales_Data!$P$2:$P$511)</f>
        <v>20644.609999999997</v>
      </c>
    </row>
    <row r="50" spans="1:2" x14ac:dyDescent="0.3">
      <c r="A50" s="3" t="s">
        <v>1730</v>
      </c>
      <c r="B50" s="6">
        <f>SUMPRODUCT((YEAR(Sales_Data!$C$2:$C$511)=2021)*(MONTH(Sales_Data!$C$2:$C$511)=6)*Sales_Data!$P$2:$P$511)</f>
        <v>21136.749999999996</v>
      </c>
    </row>
    <row r="51" spans="1:2" x14ac:dyDescent="0.3">
      <c r="A51" s="3" t="s">
        <v>1731</v>
      </c>
      <c r="B51" s="6">
        <f>SUMPRODUCT((YEAR(Sales_Data!$C$2:$C$511)=2021)*(MONTH(Sales_Data!$C$2:$C$511)=7)*Sales_Data!$P$2:$P$511)</f>
        <v>11987.350000000002</v>
      </c>
    </row>
    <row r="52" spans="1:2" x14ac:dyDescent="0.3">
      <c r="A52" s="3" t="s">
        <v>1732</v>
      </c>
      <c r="B52" s="6">
        <f>SUMPRODUCT((YEAR(Sales_Data!$C$2:$C$511)=2021)*(MONTH(Sales_Data!$C$2:$C$511)=8)*Sales_Data!$P$2:$P$511)</f>
        <v>19129.980000000003</v>
      </c>
    </row>
    <row r="53" spans="1:2" x14ac:dyDescent="0.3">
      <c r="A53" s="3" t="s">
        <v>1733</v>
      </c>
      <c r="B53" s="6">
        <f>SUMPRODUCT((YEAR(Sales_Data!$C$2:$C$511)=2021)*(MONTH(Sales_Data!$C$2:$C$511)=9)*Sales_Data!$P$2:$P$511)</f>
        <v>11582</v>
      </c>
    </row>
    <row r="54" spans="1:2" x14ac:dyDescent="0.3">
      <c r="A54" s="3" t="s">
        <v>1734</v>
      </c>
      <c r="B54" s="6">
        <f>SUMPRODUCT((YEAR(Sales_Data!$C$2:$C$511)=2021)*(MONTH(Sales_Data!$C$2:$C$511)=10)*Sales_Data!$P$2:$P$511)</f>
        <v>20693.28</v>
      </c>
    </row>
    <row r="55" spans="1:2" x14ac:dyDescent="0.3">
      <c r="A55" s="3" t="s">
        <v>1735</v>
      </c>
      <c r="B55" s="6">
        <f>SUMPRODUCT((YEAR(Sales_Data!$C$2:$C$511)=2021)*(MONTH(Sales_Data!$C$2:$C$511)=11)*Sales_Data!$P$2:$P$511)</f>
        <v>10953.87</v>
      </c>
    </row>
    <row r="56" spans="1:2" x14ac:dyDescent="0.3">
      <c r="A56" s="3" t="s">
        <v>1736</v>
      </c>
      <c r="B56" s="6">
        <f>SUMPRODUCT((YEAR(Sales_Data!$C$2:$C$511)=2021)*(MONTH(Sales_Data!$C$2:$C$511)=12)*Sales_Data!$P$2:$P$511)</f>
        <v>13011.449999999999</v>
      </c>
    </row>
    <row r="57" spans="1:2" x14ac:dyDescent="0.3">
      <c r="A57" s="3" t="s">
        <v>1737</v>
      </c>
      <c r="B57" s="6">
        <f>SUMPRODUCT((YEAR(Sales_Data!$C$2:$C$511)=2022)*(MONTH(Sales_Data!$C$2:$C$511)=1)*Sales_Data!$P$2:$P$511)</f>
        <v>22683.21</v>
      </c>
    </row>
    <row r="58" spans="1:2" x14ac:dyDescent="0.3">
      <c r="A58" s="3" t="s">
        <v>1738</v>
      </c>
      <c r="B58" s="6">
        <f>SUMPRODUCT((YEAR(Sales_Data!$C$2:$C$511)=2022)*(MONTH(Sales_Data!$C$2:$C$511)=2)*Sales_Data!$P$2:$P$511)</f>
        <v>10493.220000000001</v>
      </c>
    </row>
    <row r="59" spans="1:2" x14ac:dyDescent="0.3">
      <c r="A59" s="3" t="s">
        <v>1739</v>
      </c>
      <c r="B59" s="6">
        <f>SUMPRODUCT((YEAR(Sales_Data!$C$2:$C$511)=2022)*(MONTH(Sales_Data!$C$2:$C$511)=3)*Sales_Data!$P$2:$P$511)</f>
        <v>2062.25</v>
      </c>
    </row>
    <row r="60" spans="1:2" x14ac:dyDescent="0.3">
      <c r="A60" s="3" t="s">
        <v>1740</v>
      </c>
      <c r="B60" s="6">
        <f>SUMPRODUCT((YEAR(Sales_Data!$C$2:$C$511)=2022)*(MONTH(Sales_Data!$C$2:$C$511)=4)*Sales_Data!$P$2:$P$511)</f>
        <v>22777.45</v>
      </c>
    </row>
    <row r="61" spans="1:2" x14ac:dyDescent="0.3">
      <c r="A61" s="3" t="s">
        <v>1741</v>
      </c>
      <c r="B61" s="6">
        <f>SUMPRODUCT((YEAR(Sales_Data!$C$2:$C$511)=2022)*(MONTH(Sales_Data!$C$2:$C$511)=5)*Sales_Data!$P$2:$P$511)</f>
        <v>2699.69</v>
      </c>
    </row>
    <row r="62" spans="1:2" x14ac:dyDescent="0.3">
      <c r="A62" s="3" t="s">
        <v>1742</v>
      </c>
      <c r="B62" s="6">
        <f>SUMPRODUCT((YEAR(Sales_Data!$C$2:$C$511)=2022)*(MONTH(Sales_Data!$C$2:$C$511)=6)*Sales_Data!$P$2:$P$511)</f>
        <v>4411.1900000000005</v>
      </c>
    </row>
    <row r="63" spans="1:2" x14ac:dyDescent="0.3">
      <c r="A63" s="3" t="s">
        <v>1743</v>
      </c>
      <c r="B63" s="6">
        <f>SUMPRODUCT((YEAR(Sales_Data!$C$2:$C$511)=2022)*(MONTH(Sales_Data!$C$2:$C$511)=7)*Sales_Data!$P$2:$P$511)</f>
        <v>7374.92</v>
      </c>
    </row>
    <row r="64" spans="1:2" x14ac:dyDescent="0.3">
      <c r="A64" s="3" t="s">
        <v>1744</v>
      </c>
      <c r="B64" s="6">
        <f>SUMPRODUCT((YEAR(Sales_Data!$C$2:$C$511)=2022)*(MONTH(Sales_Data!$C$2:$C$511)=8)*Sales_Data!$P$2:$P$511)</f>
        <v>8165.9000000000015</v>
      </c>
    </row>
    <row r="65" spans="1:2" x14ac:dyDescent="0.3">
      <c r="A65" s="3" t="s">
        <v>1745</v>
      </c>
      <c r="B65" s="6">
        <f>SUMPRODUCT((YEAR(Sales_Data!$C$2:$C$511)=2022)*(MONTH(Sales_Data!$C$2:$C$511)=9)*Sales_Data!$P$2:$P$511)</f>
        <v>25495.760000000002</v>
      </c>
    </row>
    <row r="66" spans="1:2" x14ac:dyDescent="0.3">
      <c r="A66" s="3" t="s">
        <v>1746</v>
      </c>
      <c r="B66" s="6">
        <f>SUMPRODUCT((YEAR(Sales_Data!$C$2:$C$511)=2022)*(MONTH(Sales_Data!$C$2:$C$511)=10)*Sales_Data!$P$2:$P$511)</f>
        <v>13716.53</v>
      </c>
    </row>
    <row r="67" spans="1:2" x14ac:dyDescent="0.3">
      <c r="A67" s="3" t="s">
        <v>1747</v>
      </c>
      <c r="B67" s="6">
        <f>SUMPRODUCT((YEAR(Sales_Data!$C$2:$C$511)=2022)*(MONTH(Sales_Data!$C$2:$C$511)=11)*Sales_Data!$P$2:$P$511)</f>
        <v>10827.920000000002</v>
      </c>
    </row>
    <row r="68" spans="1:2" x14ac:dyDescent="0.3">
      <c r="A68" s="3" t="s">
        <v>1748</v>
      </c>
      <c r="B68" s="6">
        <f>SUMPRODUCT((YEAR(Sales_Data!$C$2:$C$511)=2022)*(MONTH(Sales_Data!$C$2:$C$511)=12)*Sales_Data!$P$2:$P$511)</f>
        <v>6481.97</v>
      </c>
    </row>
    <row r="69" spans="1:2" x14ac:dyDescent="0.3">
      <c r="A69" s="3" t="s">
        <v>1749</v>
      </c>
      <c r="B69" s="6">
        <f>SUMPRODUCT((YEAR(Sales_Data!$C$2:$C$511)=2023)*(MONTH(Sales_Data!$C$2:$C$511)=1)*Sales_Data!$P$2:$P$511)</f>
        <v>9540.7900000000009</v>
      </c>
    </row>
    <row r="70" spans="1:2" x14ac:dyDescent="0.3">
      <c r="A70" s="3" t="s">
        <v>1750</v>
      </c>
      <c r="B70" s="6">
        <f>SUMPRODUCT((YEAR(Sales_Data!$C$2:$C$511)=2023)*(MONTH(Sales_Data!$C$2:$C$511)=2)*Sales_Data!$P$2:$P$511)</f>
        <v>3881.1000000000004</v>
      </c>
    </row>
    <row r="71" spans="1:2" x14ac:dyDescent="0.3">
      <c r="A71" s="3" t="s">
        <v>1751</v>
      </c>
      <c r="B71" s="6">
        <f>SUMPRODUCT((YEAR(Sales_Data!$C$2:$C$511)=2023)*(MONTH(Sales_Data!$C$2:$C$511)=3)*Sales_Data!$P$2:$P$511)</f>
        <v>11937.09</v>
      </c>
    </row>
    <row r="72" spans="1:2" x14ac:dyDescent="0.3">
      <c r="A72" s="3" t="s">
        <v>1752</v>
      </c>
      <c r="B72" s="6">
        <f>SUMPRODUCT((YEAR(Sales_Data!$C$2:$C$511)=2023)*(MONTH(Sales_Data!$C$2:$C$511)=4)*Sales_Data!$P$2:$P$511)</f>
        <v>15428.95</v>
      </c>
    </row>
    <row r="73" spans="1:2" x14ac:dyDescent="0.3">
      <c r="A73" s="3" t="s">
        <v>1753</v>
      </c>
      <c r="B73" s="6">
        <f>SUMPRODUCT((YEAR(Sales_Data!$C$2:$C$511)=2023)*(MONTH(Sales_Data!$C$2:$C$511)=5)*Sales_Data!$P$2:$P$511)</f>
        <v>9978.09</v>
      </c>
    </row>
    <row r="74" spans="1:2" x14ac:dyDescent="0.3">
      <c r="A74" s="3" t="s">
        <v>1754</v>
      </c>
      <c r="B74" s="6">
        <f>SUMPRODUCT((YEAR(Sales_Data!$C$2:$C$511)=2023)*(MONTH(Sales_Data!$C$2:$C$511)=6)*Sales_Data!$P$2:$P$511)</f>
        <v>23713.83</v>
      </c>
    </row>
    <row r="75" spans="1:2" x14ac:dyDescent="0.3">
      <c r="A75" s="3" t="s">
        <v>1755</v>
      </c>
      <c r="B75" s="6">
        <f>SUMPRODUCT((YEAR(Sales_Data!$C$2:$C$511)=2023)*(MONTH(Sales_Data!$C$2:$C$511)=7)*Sales_Data!$P$2:$P$511)</f>
        <v>17965.769999999997</v>
      </c>
    </row>
    <row r="76" spans="1:2" x14ac:dyDescent="0.3">
      <c r="A76" s="3" t="s">
        <v>1756</v>
      </c>
      <c r="B76" s="6">
        <f>SUMPRODUCT((YEAR(Sales_Data!$C$2:$C$511)=2023)*(MONTH(Sales_Data!$C$2:$C$511)=8)*Sales_Data!$P$2:$P$511)</f>
        <v>11693.35</v>
      </c>
    </row>
    <row r="77" spans="1:2" x14ac:dyDescent="0.3">
      <c r="A77" s="3" t="s">
        <v>1757</v>
      </c>
      <c r="B77" s="6">
        <f>SUMPRODUCT((YEAR(Sales_Data!$C$2:$C$511)=2023)*(MONTH(Sales_Data!$C$2:$C$511)=9)*Sales_Data!$P$2:$P$511)</f>
        <v>17116.580000000002</v>
      </c>
    </row>
    <row r="78" spans="1:2" x14ac:dyDescent="0.3">
      <c r="A78" s="3" t="s">
        <v>1758</v>
      </c>
      <c r="B78" s="6">
        <f>SUMPRODUCT((YEAR(Sales_Data!$C$2:$C$511)=2023)*(MONTH(Sales_Data!$C$2:$C$511)=10)*Sales_Data!$P$2:$P$511)</f>
        <v>9639.91</v>
      </c>
    </row>
    <row r="79" spans="1:2" x14ac:dyDescent="0.3">
      <c r="A79" s="3" t="s">
        <v>1759</v>
      </c>
      <c r="B79" s="6">
        <f>SUMPRODUCT((YEAR(Sales_Data!$C$2:$C$511)=2023)*(MONTH(Sales_Data!$C$2:$C$511)=11)*Sales_Data!$P$2:$P$511)</f>
        <v>7216.4100000000008</v>
      </c>
    </row>
    <row r="80" spans="1:2" x14ac:dyDescent="0.3">
      <c r="A80" s="3" t="s">
        <v>1760</v>
      </c>
      <c r="B80" s="6">
        <f>SUMPRODUCT((YEAR(Sales_Data!$C$2:$C$511)=2023)*(MONTH(Sales_Data!$C$2:$C$511)=12)*Sales_Data!$P$2:$P$511)</f>
        <v>9783.8599999999988</v>
      </c>
    </row>
    <row r="81" spans="1:2" x14ac:dyDescent="0.3">
      <c r="A81" s="3" t="s">
        <v>1761</v>
      </c>
      <c r="B81" s="6">
        <f>SUMPRODUCT((YEAR(Sales_Data!$C$2:$C$511)=2024)*(MONTH(Sales_Data!$C$2:$C$511)=1)*Sales_Data!$P$2:$P$511)</f>
        <v>14944.349999999999</v>
      </c>
    </row>
    <row r="82" spans="1:2" x14ac:dyDescent="0.3">
      <c r="A82" s="3" t="s">
        <v>1762</v>
      </c>
      <c r="B82" s="6">
        <f>SUMPRODUCT((YEAR(Sales_Data!$C$2:$C$511)=2024)*(MONTH(Sales_Data!$C$2:$C$511)=2)*Sales_Data!$P$2:$P$511)</f>
        <v>18336.419999999998</v>
      </c>
    </row>
    <row r="83" spans="1:2" x14ac:dyDescent="0.3">
      <c r="A83" s="3" t="s">
        <v>1763</v>
      </c>
      <c r="B83" s="6">
        <f>SUMPRODUCT((YEAR(Sales_Data!$C$2:$C$511)=2024)*(MONTH(Sales_Data!$C$2:$C$511)=3)*Sales_Data!$P$2:$P$511)</f>
        <v>12655.640000000001</v>
      </c>
    </row>
    <row r="84" spans="1:2" x14ac:dyDescent="0.3">
      <c r="A84" s="3" t="s">
        <v>1764</v>
      </c>
      <c r="B84" s="6">
        <f>SUMPRODUCT((YEAR(Sales_Data!$C$2:$C$511)=2024)*(MONTH(Sales_Data!$C$2:$C$511)=4)*Sales_Data!$P$2:$P$511)</f>
        <v>10623.630000000001</v>
      </c>
    </row>
    <row r="85" spans="1:2" x14ac:dyDescent="0.3">
      <c r="A85" s="3" t="s">
        <v>1765</v>
      </c>
      <c r="B85" s="6">
        <f>SUMPRODUCT((YEAR(Sales_Data!$C$2:$C$511)=2024)*(MONTH(Sales_Data!$C$2:$C$511)=5)*Sales_Data!$P$2:$P$511)</f>
        <v>11593.509999999998</v>
      </c>
    </row>
    <row r="86" spans="1:2" x14ac:dyDescent="0.3">
      <c r="A86" s="3" t="s">
        <v>1766</v>
      </c>
      <c r="B86" s="6">
        <f>SUMPRODUCT((YEAR(Sales_Data!$C$2:$C$511)=2024)*(MONTH(Sales_Data!$C$2:$C$511)=6)*Sales_Data!$P$2:$P$511)</f>
        <v>15625.74</v>
      </c>
    </row>
    <row r="87" spans="1:2" x14ac:dyDescent="0.3">
      <c r="A87" s="3" t="s">
        <v>1767</v>
      </c>
      <c r="B87" s="6">
        <f>SUMPRODUCT((YEAR(Sales_Data!$C$2:$C$511)=2024)*(MONTH(Sales_Data!$C$2:$C$511)=7)*Sales_Data!$P$2:$P$511)</f>
        <v>11154.929999999998</v>
      </c>
    </row>
    <row r="88" spans="1:2" x14ac:dyDescent="0.3">
      <c r="A88" s="3" t="s">
        <v>1768</v>
      </c>
      <c r="B88" s="6">
        <f>SUMPRODUCT((YEAR(Sales_Data!$C$2:$C$511)=2024)*(MONTH(Sales_Data!$C$2:$C$511)=8)*Sales_Data!$P$2:$P$511)</f>
        <v>6945.99</v>
      </c>
    </row>
    <row r="89" spans="1:2" x14ac:dyDescent="0.3">
      <c r="A89" s="3" t="s">
        <v>1769</v>
      </c>
      <c r="B89" s="6">
        <f>SUMPRODUCT((YEAR(Sales_Data!$C$2:$C$511)=2024)*(MONTH(Sales_Data!$C$2:$C$511)=9)*Sales_Data!$P$2:$P$511)</f>
        <v>19198.899999999998</v>
      </c>
    </row>
    <row r="90" spans="1:2" x14ac:dyDescent="0.3">
      <c r="A90" s="3" t="s">
        <v>1770</v>
      </c>
      <c r="B90" s="6">
        <f>SUMPRODUCT((YEAR(Sales_Data!$C$2:$C$511)=2024)*(MONTH(Sales_Data!$C$2:$C$511)=10)*Sales_Data!$P$2:$P$511)</f>
        <v>13935.83</v>
      </c>
    </row>
    <row r="91" spans="1:2" x14ac:dyDescent="0.3">
      <c r="A91" s="3" t="s">
        <v>1771</v>
      </c>
      <c r="B91" s="6">
        <f>SUMPRODUCT((YEAR(Sales_Data!$C$2:$C$511)=2024)*(MONTH(Sales_Data!$C$2:$C$511)=11)*Sales_Data!$P$2:$P$511)</f>
        <v>26252.570000000007</v>
      </c>
    </row>
    <row r="92" spans="1:2" x14ac:dyDescent="0.3">
      <c r="A92" s="3" t="s">
        <v>1772</v>
      </c>
      <c r="B92" s="6">
        <f>SUMPRODUCT((YEAR(Sales_Data!$C$2:$C$511)=2024)*(MONTH(Sales_Data!$C$2:$C$511)=12)*Sales_Data!$P$2:$P$511)</f>
        <v>10062.6</v>
      </c>
    </row>
  </sheetData>
  <mergeCells count="9">
    <mergeCell ref="A22:B22"/>
    <mergeCell ref="A29:B29"/>
    <mergeCell ref="A35:B35"/>
    <mergeCell ref="A43:B43"/>
    <mergeCell ref="A1:F1"/>
    <mergeCell ref="A2:F2"/>
    <mergeCell ref="A4:F4"/>
    <mergeCell ref="A9:B9"/>
    <mergeCell ref="A16:B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showGridLines="0" zoomScaleNormal="100" workbookViewId="0">
      <selection activeCell="C26" sqref="C26"/>
    </sheetView>
  </sheetViews>
  <sheetFormatPr defaultColWidth="8.6640625" defaultRowHeight="14.4" x14ac:dyDescent="0.3"/>
  <cols>
    <col min="1" max="4" width="16" customWidth="1"/>
    <col min="5" max="5" width="18" customWidth="1"/>
    <col min="6" max="6" width="16" customWidth="1"/>
  </cols>
  <sheetData>
    <row r="1" spans="1:8" ht="21" x14ac:dyDescent="0.4">
      <c r="A1" s="30" t="s">
        <v>1773</v>
      </c>
      <c r="B1" s="30"/>
      <c r="C1" s="30"/>
      <c r="D1" s="30"/>
      <c r="E1" s="30"/>
      <c r="F1" s="30"/>
      <c r="G1" s="30"/>
      <c r="H1" s="30"/>
    </row>
    <row r="2" spans="1:8" x14ac:dyDescent="0.3">
      <c r="A2" s="24" t="s">
        <v>1774</v>
      </c>
      <c r="B2" s="24"/>
      <c r="C2" s="24"/>
      <c r="D2" s="24"/>
      <c r="E2" s="24"/>
      <c r="F2" s="24"/>
      <c r="G2" s="24"/>
      <c r="H2" s="24"/>
    </row>
    <row r="4" spans="1:8" ht="15" customHeight="1" x14ac:dyDescent="0.3">
      <c r="A4" s="31" t="s">
        <v>1712</v>
      </c>
      <c r="B4" s="31"/>
      <c r="C4" s="32" t="s">
        <v>1714</v>
      </c>
      <c r="D4" s="32"/>
      <c r="E4" s="33" t="s">
        <v>1775</v>
      </c>
      <c r="F4" s="33"/>
    </row>
    <row r="5" spans="1:8" ht="30" customHeight="1" x14ac:dyDescent="0.3">
      <c r="A5" s="26">
        <f>SUM(Sales_Data!P2:P511)</f>
        <v>642224.04</v>
      </c>
      <c r="B5" s="26"/>
      <c r="C5" s="27">
        <f>SUM(Sales_Data!Q2:Q511)</f>
        <v>19216.970000000012</v>
      </c>
      <c r="D5" s="27"/>
      <c r="E5" s="28" t="s">
        <v>1776</v>
      </c>
      <c r="F5" s="28"/>
    </row>
    <row r="6" spans="1:8" ht="25.5" customHeight="1" x14ac:dyDescent="0.3">
      <c r="A6" s="26"/>
      <c r="B6" s="26"/>
      <c r="C6" s="27"/>
      <c r="D6" s="27"/>
      <c r="E6" s="29">
        <f>IF(E5="All",SUM(Sales_Data!P2:P511),SUMIF(Sales_Data!$H$2:$H$511,E5,Sales_Data!$P$2:$P$511))</f>
        <v>642224.04</v>
      </c>
      <c r="F6" s="29"/>
    </row>
    <row r="25" spans="1:2" x14ac:dyDescent="0.3">
      <c r="A25" s="9" t="s">
        <v>10</v>
      </c>
      <c r="B25" s="9" t="s">
        <v>15</v>
      </c>
    </row>
    <row r="26" spans="1:2" x14ac:dyDescent="0.3">
      <c r="A26" t="str">
        <f>Analysis!A18</f>
        <v>Furniture</v>
      </c>
      <c r="B26" s="15">
        <f>Analysis!B18</f>
        <v>322178.59999999998</v>
      </c>
    </row>
    <row r="27" spans="1:2" x14ac:dyDescent="0.3">
      <c r="A27" t="str">
        <f>Analysis!A19</f>
        <v>Office Supplies</v>
      </c>
      <c r="B27" s="15">
        <f>Analysis!B19</f>
        <v>134855.31999999998</v>
      </c>
    </row>
    <row r="28" spans="1:2" x14ac:dyDescent="0.3">
      <c r="A28" t="str">
        <f>Analysis!A20</f>
        <v>Technology</v>
      </c>
      <c r="B28" s="15">
        <f>Analysis!B20</f>
        <v>185190.12</v>
      </c>
    </row>
  </sheetData>
  <mergeCells count="9">
    <mergeCell ref="A5:B6"/>
    <mergeCell ref="C5:D6"/>
    <mergeCell ref="E5:F5"/>
    <mergeCell ref="E6:F6"/>
    <mergeCell ref="A1:H1"/>
    <mergeCell ref="A2:H2"/>
    <mergeCell ref="A4:B4"/>
    <mergeCell ref="C4:D4"/>
    <mergeCell ref="E4:F4"/>
  </mergeCells>
  <dataValidations count="1">
    <dataValidation type="list" sqref="E5" xr:uid="{00000000-0002-0000-0300-000000000000}">
      <formula1>"All,East,West,Central,South"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showGridLines="0" zoomScaleNormal="100" workbookViewId="0">
      <selection activeCell="B5" sqref="B5"/>
    </sheetView>
  </sheetViews>
  <sheetFormatPr defaultColWidth="8.6640625" defaultRowHeight="14.4" x14ac:dyDescent="0.3"/>
  <cols>
    <col min="1" max="1" width="6" customWidth="1"/>
    <col min="2" max="2" width="45" customWidth="1"/>
    <col min="3" max="3" width="22" customWidth="1"/>
  </cols>
  <sheetData>
    <row r="1" spans="1:3" ht="21" x14ac:dyDescent="0.4">
      <c r="A1" s="20" t="s">
        <v>1777</v>
      </c>
      <c r="B1" s="20"/>
      <c r="C1" s="20"/>
    </row>
    <row r="3" spans="1:3" ht="27.6" x14ac:dyDescent="0.3">
      <c r="A3" s="16" t="s">
        <v>1778</v>
      </c>
      <c r="B3" s="16" t="s">
        <v>1779</v>
      </c>
      <c r="C3" s="16" t="s">
        <v>1780</v>
      </c>
    </row>
    <row r="4" spans="1:3" ht="30" customHeight="1" x14ac:dyDescent="0.3">
      <c r="A4" s="17">
        <v>1</v>
      </c>
      <c r="B4" s="18" t="s">
        <v>1781</v>
      </c>
      <c r="C4" s="19" t="str">
        <f>INDEX(Analysis!A11:A14,MATCH(MAX(Analysis!B11:B14),Analysis!B11:B14,0))</f>
        <v>West</v>
      </c>
    </row>
    <row r="5" spans="1:3" ht="30" customHeight="1" x14ac:dyDescent="0.3">
      <c r="A5" s="17">
        <v>2</v>
      </c>
      <c r="B5" s="18" t="s">
        <v>1782</v>
      </c>
      <c r="C5" s="19" t="str">
        <f>INDEX(Analysis!A31:A33,MATCH(MAX(Analysis!B31:B33),Analysis!B31:B33,0))</f>
        <v>Office Supplies</v>
      </c>
    </row>
    <row r="6" spans="1:3" ht="30" customHeight="1" x14ac:dyDescent="0.3">
      <c r="A6" s="17">
        <v>3</v>
      </c>
      <c r="B6" s="18" t="s">
        <v>1783</v>
      </c>
      <c r="C6" s="19" t="str">
        <f>INDEX(Analysis!A45:A92,MATCH(MAX(Analysis!B45:B92),Analysis!B45:B92,0))</f>
        <v>2024-11</v>
      </c>
    </row>
    <row r="7" spans="1:3" ht="30" customHeight="1" x14ac:dyDescent="0.3">
      <c r="A7" s="17">
        <v>4</v>
      </c>
      <c r="B7" s="18" t="s">
        <v>1784</v>
      </c>
      <c r="C7" s="19" t="str">
        <f>INDEX(Analysis!A31:A33,MATCH(MIN(Analysis!B31:B33),Analysis!B31:B33,0))</f>
        <v>Technology</v>
      </c>
    </row>
    <row r="10" spans="1:3" ht="22.35" customHeight="1" x14ac:dyDescent="0.3">
      <c r="A10" s="21" t="s">
        <v>1785</v>
      </c>
      <c r="B10" s="21"/>
      <c r="C10" s="21"/>
    </row>
  </sheetData>
  <mergeCells count="2">
    <mergeCell ref="A1:C1"/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Raw_Data</vt:lpstr>
      <vt:lpstr>Analysis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Shaik.Fathima Mahek</cp:lastModifiedBy>
  <cp:revision>1</cp:revision>
  <dcterms:created xsi:type="dcterms:W3CDTF">2026-07-31T06:37:28Z</dcterms:created>
  <dcterms:modified xsi:type="dcterms:W3CDTF">2026-10-04T12:06:50Z</dcterms:modified>
  <dc:language>en-US</dc:language>
</cp:coreProperties>
</file>